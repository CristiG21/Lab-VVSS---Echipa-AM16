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30"/>
  <workbookPr filterPrivacy="1" defaultThemeVersion="124226"/>
  <xr:revisionPtr revIDLastSave="0" documentId="8_{853F9DDD-A4C3-4E54-A41A-C313DAB2B5BF}" xr6:coauthVersionLast="47" xr6:coauthVersionMax="47" xr10:uidLastSave="{00000000-0000-0000-0000-000000000000}"/>
  <bookViews>
    <workbookView xWindow="0" yWindow="660" windowWidth="31000" windowHeight="16640" activeTab="3" xr2:uid="{00000000-000D-0000-FFFF-FFFF00000000}"/>
  </bookViews>
  <sheets>
    <sheet name="Statement" sheetId="1" r:id="rId1"/>
    <sheet name="F02.CFG-Paths" sheetId="10" r:id="rId2"/>
    <sheet name="F02.TCs" sheetId="11" r:id="rId3"/>
    <sheet name="WBT-TC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4" l="1"/>
  <c r="J19" i="4"/>
</calcChain>
</file>

<file path=xl/sharedStrings.xml><?xml version="1.0" encoding="utf-8"?>
<sst xmlns="http://schemas.openxmlformats.org/spreadsheetml/2006/main" count="197" uniqueCount="140">
  <si>
    <t>VVSS, Info Romana, 2025-2026</t>
  </si>
  <si>
    <t>Criteriile de acoperire la nivelul codului sursa sunt exemplificate pentru problema de mai jos. Studentii vor aplica aceeasi modalitate de lucru pentru proiectul primit in Lab01.</t>
  </si>
  <si>
    <t xml:space="preserve">Lab03. White-box Testing. Code Coverage </t>
  </si>
  <si>
    <t>Echipa</t>
  </si>
  <si>
    <t>Numele si prenumele</t>
  </si>
  <si>
    <t>Grupa</t>
  </si>
  <si>
    <t>Student 1:</t>
  </si>
  <si>
    <t>George Dan-Cristian</t>
  </si>
  <si>
    <t>Student 2:</t>
  </si>
  <si>
    <t>Grava Bianca-Adelina</t>
  </si>
  <si>
    <t>Student 3:</t>
  </si>
  <si>
    <t>Goia Darius-Ioan</t>
  </si>
  <si>
    <t>MyDrinkShop</t>
  </si>
  <si>
    <t>Se cere realizarea unei aplicații software pentru gestionarea activității unui drinks shop, care să permită
administrarea produselor vândute (băuturi), a ingredientelor utilizate, a rețetelor de preparare și a comenzilor
plasate de clienți. La pornirea sistemului, aplicația trebuie să verifice existența fișierelor de date și să le inițializeze;
dacă acestea nu există, vor fi create automat pentru a asigura starea inițială a sistemului.
Aplicația trebuie să ofere funcționalități complete de gestiune, să asigure persistența datelor în fișiere, precum
și o interfață grafică pentru utilizator care să permită navigarea facilă prin meniuri dedicate și timpi de răspuns sub
o secundă pentru operațiunile de filtrare.
Soluția trebuie implementată respectând principiile programării orientate pe obiect și o arhitectură stratificată,
care separă clar:
• modelul de date,
• logica de business,
• accesul la date,
• interfața cu utilizatorul.</t>
  </si>
  <si>
    <r>
      <rPr>
        <b/>
        <sz val="12"/>
        <color theme="1"/>
        <rFont val="Calibri"/>
        <family val="2"/>
        <scheme val="minor"/>
      </rPr>
      <t xml:space="preserve">F02. </t>
    </r>
    <r>
      <rPr>
        <sz val="12"/>
        <color theme="1"/>
        <rFont val="Calibri"/>
        <family val="2"/>
        <scheme val="minor"/>
      </rPr>
      <t>Aplicația trebuie să permită crearea comenzilor: o comandă conține unul sau mai multe produse; o fiecare produs are asociată o cantitate.</t>
    </r>
  </si>
  <si>
    <t>F02. adaugarea unei comezi noi</t>
  </si>
  <si>
    <t xml:space="preserve">F02. Covered source code </t>
  </si>
  <si>
    <t>F02. Control Flow Graph (CFG)</t>
  </si>
  <si>
    <t>F02. Cyclomatic Complexity (CC)</t>
  </si>
  <si>
    <t>Line No.</t>
  </si>
  <si>
    <t>Source code</t>
  </si>
  <si>
    <t>Se va insera CFG asociat codului sursa testat (poza, diagrama, etc.).</t>
  </si>
  <si>
    <t>CC1 = No. of regions =</t>
  </si>
  <si>
    <t>Req02_L01</t>
  </si>
  <si>
    <t>…</t>
  </si>
  <si>
    <t>CC2 = Edges - Nodes + 2 =</t>
  </si>
  <si>
    <t>20 - 16 + 2 = 6</t>
  </si>
  <si>
    <t>Req02_L02</t>
  </si>
  <si>
    <t>CC3 = No. of Conditions + 1 =</t>
  </si>
  <si>
    <t>Predicate+1</t>
  </si>
  <si>
    <t>5 + 1 = 6</t>
  </si>
  <si>
    <t>Req02_L03</t>
  </si>
  <si>
    <t>...</t>
  </si>
  <si>
    <t>..</t>
  </si>
  <si>
    <t>F02. Individual Paths</t>
  </si>
  <si>
    <t>Path No.</t>
  </si>
  <si>
    <t>Path</t>
  </si>
  <si>
    <t>F02_P01</t>
  </si>
  <si>
    <t>24 (T) - 25 - 52</t>
  </si>
  <si>
    <t>F02_P02</t>
  </si>
  <si>
    <t>24 (F) - 28 (T) - 29 - 52</t>
  </si>
  <si>
    <t>F02_P03</t>
  </si>
  <si>
    <t>24 (F) - 28 (F) - 32 - 34 (F) - 48 - 49 - 51 - 52</t>
  </si>
  <si>
    <t>F02_P04</t>
  </si>
  <si>
    <t>24 (F) - 28 (F) - 32 - 34 (T) - 35 (T) - 36 - 52</t>
  </si>
  <si>
    <t>F02_P05</t>
  </si>
  <si>
    <t>24 (F) - 28 (F) - 32 - 34 (T) - 35 (F) - 39 - 41 (T) - 42 - 52</t>
  </si>
  <si>
    <t>F02_P06</t>
  </si>
  <si>
    <t>24 (F) - 28 (F) - 32 - 34 (T) - 35 (F) - 39 - 41 (F) - 45 - 34 (F) - 48 - 49 - 51 - 52</t>
  </si>
  <si>
    <r>
      <rPr>
        <b/>
        <sz val="11"/>
        <color indexed="8"/>
        <rFont val="Calibri"/>
        <family val="2"/>
      </rPr>
      <t xml:space="preserve">F02. </t>
    </r>
    <r>
      <rPr>
        <sz val="11"/>
        <color indexed="8"/>
        <rFont val="Calibri"/>
        <family val="2"/>
      </rPr>
      <t>adaugarea unei comenzi noi</t>
    </r>
  </si>
  <si>
    <t>TC No.</t>
  </si>
  <si>
    <t>Input</t>
  </si>
  <si>
    <t>Output</t>
  </si>
  <si>
    <t>Coverage</t>
  </si>
  <si>
    <t>Statement (sc)</t>
  </si>
  <si>
    <t>Condition/ decision (dc, cc, dcc, mcc)</t>
  </si>
  <si>
    <t>Path (apc)</t>
  </si>
  <si>
    <t>Loop (lc)</t>
  </si>
  <si>
    <t>o: Order, stocService: StocService</t>
  </si>
  <si>
    <t>Succes/Exceptie</t>
  </si>
  <si>
    <t>F02_Cond01 o == null</t>
  </si>
  <si>
    <t>F02_Cond02 o.getItems() == null</t>
  </si>
  <si>
    <t>F02_Cond03 o.getItems().isEmpty()</t>
  </si>
  <si>
    <t>F02_Cond04 F02_Cond02||F02_Cond03</t>
  </si>
  <si>
    <t>F02_Cond05 OrderItem item:o.getItems()</t>
  </si>
  <si>
    <t>F02_Cond06 item.getQuantity() &lt;= 0</t>
  </si>
  <si>
    <t>F02_Cond07 r = null</t>
  </si>
  <si>
    <t>n-1</t>
  </si>
  <si>
    <t>n</t>
  </si>
  <si>
    <t>m&lt;n</t>
  </si>
  <si>
    <t>T</t>
  </si>
  <si>
    <t>F</t>
  </si>
  <si>
    <t>F02_TC01</t>
  </si>
  <si>
    <t>o = null, stocService = StocService valid</t>
  </si>
  <si>
    <t>Exceptie “Comanda nu poate fi null.”</t>
  </si>
  <si>
    <t>24, 25</t>
  </si>
  <si>
    <t>F01_TC02</t>
  </si>
  <si>
    <t>o = Order{id=1, items=null, totalPrice=50}, stocService = StocService valid</t>
  </si>
  <si>
    <t>Exceptie "Comanda trebuie sa contina cel putin un produs."</t>
  </si>
  <si>
    <t>24, 25, 29</t>
  </si>
  <si>
    <t>F01_TC03</t>
  </si>
  <si>
    <t>o = Order{id=2, items=[], totalPrice=0}, stocService = StocService valid</t>
  </si>
  <si>
    <t>F01_TC04</t>
  </si>
  <si>
    <t>o = Order{id=3, items=[OrderItem{product=P1, quantity=0}], totalPrice=30}, stocService = StocService valid</t>
  </si>
  <si>
    <t>Exceptie "Cantitatea trebuie sa fie mai mare decat 0."</t>
  </si>
  <si>
    <t>24, 28, 32, 34, 35, 36</t>
  </si>
  <si>
    <t>F01_TC05</t>
  </si>
  <si>
    <t>o = Order{id=4, items=[OrderItem{product=P3, quantity=2}], totalPrice=40}, P3 nu are rețetă corespunzătoare, stocService = StocService valid</t>
  </si>
  <si>
    <t>Exceptie "Nu exista reteta pentru produsul cu id ..."</t>
  </si>
  <si>
    <t>24, 28, 32, 34, 35, 39, 41, 42</t>
  </si>
  <si>
    <t>F01_TC06</t>
  </si>
  <si>
    <t>o = Order{id=5, items=[OrderItem{product=P1, quantity=2}], totalPrice=60}, P1 are rețetă corespunzătoare, stocService = StocService valid</t>
  </si>
  <si>
    <t>Succes</t>
  </si>
  <si>
    <t>24, 28, 32, 34, 35, 39, 41, 45, 48, 49, 51</t>
  </si>
  <si>
    <t>F01_TC07</t>
  </si>
  <si>
    <t>o = Order{id=6, items=[OrderItem{product=P1, quantity=1}, OrderItem{product=P2, quantity=2}], totalPrice=90}, P1, P2 au rețetă corespunzătoare, stocService = StocService valid</t>
  </si>
  <si>
    <t>F01_TC08</t>
  </si>
  <si>
    <t>o = Order{id=7, items=[OrderItem{product=P1, quantity=0}, OrderItem{product=P2, quantity=2}], totalPrice=120}, P1, P2 au rețetă corespunzătoare, stocService = StocService valid</t>
  </si>
  <si>
    <t>WBT Implemented TCs</t>
  </si>
  <si>
    <t>Final        TC No.</t>
  </si>
  <si>
    <t>Req. ID</t>
  </si>
  <si>
    <t>TC No</t>
  </si>
  <si>
    <t>input data</t>
  </si>
  <si>
    <t>output data</t>
  </si>
  <si>
    <t>o:Order</t>
  </si>
  <si>
    <t>stocService:StocService</t>
  </si>
  <si>
    <t>expected</t>
  </si>
  <si>
    <t>actual result</t>
  </si>
  <si>
    <t>F02</t>
  </si>
  <si>
    <t>null</t>
  </si>
  <si>
    <t>valid</t>
  </si>
  <si>
    <t>F02_TC02</t>
  </si>
  <si>
    <t>Order{id=1, items=null, totalPrice=50}</t>
  </si>
  <si>
    <t>F02_TC03</t>
  </si>
  <si>
    <t>Order{id=2, items=[], totalPrice=0}</t>
  </si>
  <si>
    <t>F02_TC04</t>
  </si>
  <si>
    <t>Order{id=3, items=[OrderItem{product=P1, quantity=0}], totalPrice=30}, P1 valid, are reteta corespunzătoare</t>
  </si>
  <si>
    <t>F02_TC05</t>
  </si>
  <si>
    <t>Order{id=4, items=[OrderItem{product=P3, quantity=2}], totalPrice=40}, P3 nu are rețetă corespunzătoare</t>
  </si>
  <si>
    <t>F02_TC06</t>
  </si>
  <si>
    <t>Order{id=5, items=[OrderItem{product=P1, quantity=2}], totalPrice=60}, P1 valid, are rețetă corespunzătoare</t>
  </si>
  <si>
    <t>F02_TC07</t>
  </si>
  <si>
    <t>Order{id=6, items=[OrderItem{product=P1, quantity=1}, OrderItem{product=P2, quantity=2}], totalPrice=90}, P1, P2 valide, au rețetă corespunzătoare</t>
  </si>
  <si>
    <t>F02_TC08</t>
  </si>
  <si>
    <t>Order{id=7, items=[OrderItem{product=P1, quantity=0}, OrderItem{product=P2, quantity=2}], totalPrice=120}, P1, P2 valide, au rețetă corespunzătoare</t>
  </si>
  <si>
    <t>Statistics</t>
  </si>
  <si>
    <t>Testare</t>
  </si>
  <si>
    <t>Depanare</t>
  </si>
  <si>
    <t>Testare de regresie</t>
  </si>
  <si>
    <t>#TCs run</t>
  </si>
  <si>
    <r>
      <t xml:space="preserve">#TCs </t>
    </r>
    <r>
      <rPr>
        <b/>
        <sz val="11"/>
        <color indexed="17"/>
        <rFont val="Calibri"/>
        <family val="2"/>
      </rPr>
      <t>passed</t>
    </r>
  </si>
  <si>
    <r>
      <t xml:space="preserve">#TCs </t>
    </r>
    <r>
      <rPr>
        <b/>
        <sz val="11"/>
        <color indexed="10"/>
        <rFont val="Calibri"/>
        <family val="2"/>
      </rPr>
      <t>falied</t>
    </r>
  </si>
  <si>
    <r>
      <t>Coverage (%)</t>
    </r>
    <r>
      <rPr>
        <b/>
        <i/>
        <sz val="8"/>
        <color indexed="8"/>
        <rFont val="Calibri"/>
        <family val="2"/>
      </rPr>
      <t>[se va prelua valoarea indicata in raportul de acoperire pentru metoda testata]</t>
    </r>
  </si>
  <si>
    <r>
      <t xml:space="preserve">#Bugs </t>
    </r>
    <r>
      <rPr>
        <b/>
        <i/>
        <sz val="8"/>
        <color indexed="8"/>
        <rFont val="Calibri"/>
        <family val="2"/>
      </rPr>
      <t>[se va indica numarul de bug-uri identificate prin depanare, la nivelul metodei testate]</t>
    </r>
  </si>
  <si>
    <r>
      <t xml:space="preserve">#TCs  </t>
    </r>
    <r>
      <rPr>
        <b/>
        <sz val="11"/>
        <color indexed="10"/>
        <rFont val="Calibri"/>
        <family val="2"/>
      </rPr>
      <t>failed</t>
    </r>
  </si>
  <si>
    <r>
      <t xml:space="preserve">Coverage (%) </t>
    </r>
    <r>
      <rPr>
        <b/>
        <i/>
        <sz val="8"/>
        <color indexed="8"/>
        <rFont val="Calibri"/>
        <family val="2"/>
      </rPr>
      <t>[se va prelua valoarea indicata in raportul de acoperire pentru metoda testata]</t>
    </r>
  </si>
  <si>
    <r>
      <t xml:space="preserve">Testare de regresie </t>
    </r>
    <r>
      <rPr>
        <b/>
        <i/>
        <sz val="8"/>
        <color indexed="8"/>
        <rFont val="Calibri"/>
        <family val="2"/>
      </rPr>
      <t>[se va completa cu 'da' dupa testarea de regresie]</t>
    </r>
  </si>
  <si>
    <r>
      <t xml:space="preserve">#TCs </t>
    </r>
    <r>
      <rPr>
        <b/>
        <sz val="11"/>
        <color indexed="17"/>
        <rFont val="Calibri"/>
        <family val="2"/>
      </rPr>
      <t>passed</t>
    </r>
    <r>
      <rPr>
        <b/>
        <sz val="11"/>
        <color indexed="8"/>
        <rFont val="Calibri"/>
        <family val="2"/>
      </rPr>
      <t xml:space="preserve"> </t>
    </r>
    <r>
      <rPr>
        <b/>
        <i/>
        <sz val="8"/>
        <color indexed="8"/>
        <rFont val="Calibri"/>
        <family val="2"/>
      </rPr>
      <t>[de executat in testarea de regresie]</t>
    </r>
  </si>
  <si>
    <t>80.6% ( line coverage )</t>
  </si>
  <si>
    <t>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</si>
</sst>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17"/>
      <name val="Calibri"/>
      <family val="2"/>
    </font>
    <font>
      <b/>
      <sz val="11"/>
      <color indexed="10"/>
      <name val="Calibri"/>
      <family val="2"/>
    </font>
    <font>
      <b/>
      <i/>
      <sz val="8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9"/>
      <color rgb="FFC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i/>
      <sz val="9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000000"/>
      <name val="Calibri"/>
      <family val="2"/>
    </font>
    <font>
      <sz val="11"/>
      <color rgb="FF000000"/>
      <name val="Calibri"/>
      <scheme val="minor"/>
    </font>
    <font>
      <sz val="11"/>
      <color rgb="FF242424"/>
      <name val="Aptos Narrow"/>
      <charset val="1"/>
    </font>
  </fonts>
  <fills count="1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7" fillId="0" borderId="0" xfId="0" applyFont="1"/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9" fillId="0" borderId="3" xfId="0" applyFont="1" applyBorder="1"/>
    <xf numFmtId="0" fontId="10" fillId="2" borderId="4" xfId="0" applyFont="1" applyFill="1" applyBorder="1" applyAlignment="1">
      <alignment horizontal="center"/>
    </xf>
    <xf numFmtId="0" fontId="0" fillId="0" borderId="0" xfId="0" applyAlignment="1">
      <alignment vertical="center"/>
    </xf>
    <xf numFmtId="0" fontId="11" fillId="0" borderId="0" xfId="0" applyFont="1"/>
    <xf numFmtId="0" fontId="12" fillId="3" borderId="6" xfId="0" applyFont="1" applyFill="1" applyBorder="1" applyAlignment="1">
      <alignment horizontal="center" vertical="center" wrapText="1"/>
    </xf>
    <xf numFmtId="0" fontId="13" fillId="0" borderId="6" xfId="0" applyFont="1" applyBorder="1" applyAlignment="1">
      <alignment vertical="center" wrapText="1"/>
    </xf>
    <xf numFmtId="0" fontId="13" fillId="0" borderId="6" xfId="0" applyFont="1" applyBorder="1" applyAlignment="1">
      <alignment horizontal="left" vertical="center" wrapText="1"/>
    </xf>
    <xf numFmtId="0" fontId="13" fillId="4" borderId="6" xfId="0" applyFont="1" applyFill="1" applyBorder="1" applyAlignment="1">
      <alignment vertical="center" wrapText="1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8" fillId="0" borderId="0" xfId="0" applyFont="1"/>
    <xf numFmtId="0" fontId="0" fillId="2" borderId="6" xfId="0" applyFill="1" applyBorder="1"/>
    <xf numFmtId="0" fontId="0" fillId="7" borderId="6" xfId="0" applyFill="1" applyBorder="1"/>
    <xf numFmtId="0" fontId="0" fillId="2" borderId="8" xfId="0" applyFill="1" applyBorder="1"/>
    <xf numFmtId="0" fontId="0" fillId="0" borderId="6" xfId="0" applyBorder="1"/>
    <xf numFmtId="0" fontId="0" fillId="2" borderId="9" xfId="0" applyFill="1" applyBorder="1"/>
    <xf numFmtId="0" fontId="0" fillId="7" borderId="8" xfId="0" applyFill="1" applyBorder="1"/>
    <xf numFmtId="0" fontId="0" fillId="2" borderId="10" xfId="0" applyFill="1" applyBorder="1"/>
    <xf numFmtId="0" fontId="7" fillId="8" borderId="0" xfId="0" applyFont="1" applyFill="1" applyAlignment="1">
      <alignment horizontal="center"/>
    </xf>
    <xf numFmtId="0" fontId="7" fillId="9" borderId="6" xfId="0" applyFont="1" applyFill="1" applyBorder="1" applyAlignment="1">
      <alignment horizontal="center"/>
    </xf>
    <xf numFmtId="0" fontId="7" fillId="9" borderId="0" xfId="0" applyFont="1" applyFill="1" applyAlignment="1">
      <alignment horizontal="center"/>
    </xf>
    <xf numFmtId="0" fontId="0" fillId="0" borderId="6" xfId="0" applyBorder="1" applyAlignment="1">
      <alignment horizontal="right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14" fillId="0" borderId="0" xfId="0" applyFont="1"/>
    <xf numFmtId="0" fontId="15" fillId="0" borderId="0" xfId="0" applyFont="1"/>
    <xf numFmtId="0" fontId="7" fillId="8" borderId="29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/>
    </xf>
    <xf numFmtId="0" fontId="13" fillId="3" borderId="6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3" fillId="5" borderId="6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3" fillId="6" borderId="6" xfId="0" applyFont="1" applyFill="1" applyBorder="1" applyAlignment="1">
      <alignment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0" borderId="1" xfId="0" applyFont="1" applyBorder="1" applyAlignment="1">
      <alignment horizontal="center" vertical="center" wrapText="1"/>
    </xf>
    <xf numFmtId="0" fontId="19" fillId="0" borderId="0" xfId="0" applyFont="1"/>
    <xf numFmtId="0" fontId="1" fillId="0" borderId="0" xfId="0" applyFont="1" applyAlignment="1">
      <alignment vertical="top" wrapText="1"/>
    </xf>
    <xf numFmtId="0" fontId="7" fillId="8" borderId="9" xfId="0" applyFont="1" applyFill="1" applyBorder="1" applyAlignment="1">
      <alignment horizontal="center"/>
    </xf>
    <xf numFmtId="0" fontId="7" fillId="8" borderId="11" xfId="0" applyFont="1" applyFill="1" applyBorder="1" applyAlignment="1">
      <alignment horizontal="center"/>
    </xf>
    <xf numFmtId="0" fontId="7" fillId="8" borderId="5" xfId="0" applyFont="1" applyFill="1" applyBorder="1" applyAlignment="1">
      <alignment horizontal="center"/>
    </xf>
    <xf numFmtId="0" fontId="1" fillId="0" borderId="0" xfId="0" applyFont="1" applyAlignment="1">
      <alignment horizontal="left" vertical="top" wrapText="1"/>
    </xf>
    <xf numFmtId="0" fontId="0" fillId="0" borderId="6" xfId="0" applyBorder="1" applyAlignment="1">
      <alignment horizontal="left"/>
    </xf>
    <xf numFmtId="0" fontId="3" fillId="8" borderId="9" xfId="0" applyFont="1" applyFill="1" applyBorder="1" applyAlignment="1">
      <alignment horizontal="center"/>
    </xf>
    <xf numFmtId="0" fontId="0" fillId="8" borderId="11" xfId="0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11" fillId="0" borderId="12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7" fillId="9" borderId="6" xfId="0" applyFont="1" applyFill="1" applyBorder="1" applyAlignment="1">
      <alignment horizontal="center"/>
    </xf>
    <xf numFmtId="0" fontId="2" fillId="8" borderId="9" xfId="0" applyFont="1" applyFill="1" applyBorder="1" applyAlignment="1">
      <alignment horizontal="center"/>
    </xf>
    <xf numFmtId="0" fontId="12" fillId="0" borderId="6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6" borderId="6" xfId="0" applyFont="1" applyFill="1" applyBorder="1" applyAlignment="1">
      <alignment horizontal="center" vertical="center" wrapText="1"/>
    </xf>
    <xf numFmtId="0" fontId="12" fillId="5" borderId="6" xfId="0" applyFont="1" applyFill="1" applyBorder="1" applyAlignment="1">
      <alignment horizontal="center" vertical="center" wrapText="1"/>
    </xf>
    <xf numFmtId="0" fontId="12" fillId="0" borderId="18" xfId="0" applyFont="1" applyBorder="1" applyAlignment="1">
      <alignment horizontal="left" vertical="center" wrapText="1"/>
    </xf>
    <xf numFmtId="0" fontId="12" fillId="0" borderId="7" xfId="0" applyFont="1" applyBorder="1" applyAlignment="1">
      <alignment horizontal="left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2" fillId="5" borderId="18" xfId="0" applyFont="1" applyFill="1" applyBorder="1" applyAlignment="1">
      <alignment horizontal="center" vertical="center" wrapText="1"/>
    </xf>
    <xf numFmtId="0" fontId="12" fillId="5" borderId="7" xfId="0" applyFont="1" applyFill="1" applyBorder="1" applyAlignment="1">
      <alignment horizontal="center" vertical="center" wrapText="1"/>
    </xf>
    <xf numFmtId="0" fontId="12" fillId="3" borderId="9" xfId="0" applyFont="1" applyFill="1" applyBorder="1" applyAlignment="1">
      <alignment horizontal="center" vertical="center" wrapText="1"/>
    </xf>
    <xf numFmtId="0" fontId="12" fillId="3" borderId="5" xfId="0" applyFont="1" applyFill="1" applyBorder="1" applyAlignment="1">
      <alignment horizontal="center" vertical="center" wrapText="1"/>
    </xf>
    <xf numFmtId="0" fontId="12" fillId="4" borderId="6" xfId="0" applyFont="1" applyFill="1" applyBorder="1" applyAlignment="1">
      <alignment horizontal="center" vertical="center" wrapText="1"/>
    </xf>
    <xf numFmtId="0" fontId="7" fillId="11" borderId="27" xfId="0" applyFont="1" applyFill="1" applyBorder="1" applyAlignment="1">
      <alignment horizontal="center" vertical="center"/>
    </xf>
    <xf numFmtId="0" fontId="7" fillId="11" borderId="28" xfId="0" applyFont="1" applyFill="1" applyBorder="1" applyAlignment="1">
      <alignment horizontal="center" vertical="center"/>
    </xf>
    <xf numFmtId="0" fontId="7" fillId="11" borderId="6" xfId="0" applyFont="1" applyFill="1" applyBorder="1" applyAlignment="1">
      <alignment horizontal="center"/>
    </xf>
    <xf numFmtId="0" fontId="7" fillId="0" borderId="18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12" borderId="32" xfId="0" applyFont="1" applyFill="1" applyBorder="1" applyAlignment="1">
      <alignment horizontal="center" vertical="center"/>
    </xf>
    <xf numFmtId="0" fontId="7" fillId="12" borderId="33" xfId="0" applyFont="1" applyFill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11" borderId="30" xfId="0" applyFont="1" applyFill="1" applyBorder="1" applyAlignment="1">
      <alignment horizontal="center" vertical="center"/>
    </xf>
    <xf numFmtId="0" fontId="7" fillId="7" borderId="19" xfId="0" applyFont="1" applyFill="1" applyBorder="1" applyAlignment="1">
      <alignment horizontal="center" vertical="center" wrapText="1"/>
    </xf>
    <xf numFmtId="0" fontId="7" fillId="7" borderId="20" xfId="0" applyFont="1" applyFill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10" borderId="23" xfId="0" applyFont="1" applyFill="1" applyBorder="1" applyAlignment="1">
      <alignment horizontal="center" vertical="center"/>
    </xf>
    <xf numFmtId="0" fontId="7" fillId="10" borderId="24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7" borderId="25" xfId="0" applyFont="1" applyFill="1" applyBorder="1" applyAlignment="1">
      <alignment horizontal="center" vertical="center" wrapText="1"/>
    </xf>
    <xf numFmtId="0" fontId="7" fillId="7" borderId="7" xfId="0" applyFont="1" applyFill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 wrapText="1"/>
    </xf>
    <xf numFmtId="0" fontId="21" fillId="0" borderId="0" xfId="0" applyFont="1" applyAlignment="1">
      <alignment horizontal="center" wrapText="1"/>
    </xf>
    <xf numFmtId="0" fontId="0" fillId="0" borderId="6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547412</xdr:colOff>
      <xdr:row>9</xdr:row>
      <xdr:rowOff>65691</xdr:rowOff>
    </xdr:from>
    <xdr:to>
      <xdr:col>13</xdr:col>
      <xdr:colOff>262757</xdr:colOff>
      <xdr:row>51</xdr:row>
      <xdr:rowOff>80291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08BEDDE-B873-8E5A-78E6-A7355A87FD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65343" y="1839312"/>
          <a:ext cx="3109311" cy="8291496"/>
        </a:xfrm>
        <a:prstGeom prst="rect">
          <a:avLst/>
        </a:prstGeom>
      </xdr:spPr>
    </xdr:pic>
    <xdr:clientData/>
  </xdr:twoCellAnchor>
  <xdr:twoCellAnchor editAs="oneCell">
    <xdr:from>
      <xdr:col>0</xdr:col>
      <xdr:colOff>508000</xdr:colOff>
      <xdr:row>6</xdr:row>
      <xdr:rowOff>88900</xdr:rowOff>
    </xdr:from>
    <xdr:to>
      <xdr:col>7</xdr:col>
      <xdr:colOff>349096</xdr:colOff>
      <xdr:row>24</xdr:row>
      <xdr:rowOff>139700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3EB8A71-CC83-AE5A-4DA2-1A0C2AF64E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8000" y="1231900"/>
          <a:ext cx="4641696" cy="347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508000</xdr:colOff>
      <xdr:row>7</xdr:row>
      <xdr:rowOff>330200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2F6C7D9-380D-6DE5-4EDC-7B5799FC0A53}"/>
            </a:ext>
          </a:extLst>
        </xdr:cNvPr>
        <xdr:cNvSpPr txBox="1"/>
      </xdr:nvSpPr>
      <xdr:spPr>
        <a:xfrm>
          <a:off x="8267700" y="16891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GB" sz="1100"/>
        </a:p>
      </xdr:txBody>
    </xdr:sp>
    <xdr:clientData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59999389629810485"/>
  </sheetPr>
  <dimension ref="B1:P20"/>
  <sheetViews>
    <sheetView topLeftCell="A13" workbookViewId="0">
      <selection activeCell="Q13" sqref="Q13"/>
    </sheetView>
  </sheetViews>
  <sheetFormatPr defaultColWidth="8.85546875" defaultRowHeight="15"/>
  <cols>
    <col min="15" max="15" width="19.42578125" customWidth="1"/>
  </cols>
  <sheetData>
    <row r="1" spans="2:16">
      <c r="B1" s="8"/>
      <c r="D1" s="41" t="s">
        <v>0</v>
      </c>
      <c r="E1" s="42"/>
      <c r="F1" s="42"/>
      <c r="G1" s="43"/>
    </row>
    <row r="2" spans="2:16">
      <c r="B2" s="31" t="s">
        <v>1</v>
      </c>
    </row>
    <row r="4" spans="2:16" ht="15.95">
      <c r="B4" s="39"/>
      <c r="N4" s="5" t="s">
        <v>2</v>
      </c>
      <c r="O4" s="5"/>
      <c r="P4" s="5"/>
    </row>
    <row r="5" spans="2:16" ht="15.95" customHeight="1">
      <c r="B5" s="40"/>
      <c r="C5" s="40"/>
      <c r="D5" s="40"/>
      <c r="E5" s="40"/>
      <c r="F5" s="40"/>
      <c r="G5" s="40"/>
      <c r="H5" s="40"/>
      <c r="I5" s="40"/>
      <c r="J5" s="40"/>
      <c r="K5" s="40"/>
      <c r="N5" s="27" t="s">
        <v>3</v>
      </c>
      <c r="O5" s="27"/>
      <c r="P5" s="27"/>
    </row>
    <row r="6" spans="2:16" ht="15.95" customHeight="1">
      <c r="B6" s="40"/>
      <c r="C6" s="40"/>
      <c r="D6" s="40"/>
      <c r="E6" s="40"/>
      <c r="F6" s="40"/>
      <c r="G6" s="40"/>
      <c r="H6" s="40"/>
      <c r="I6" s="40"/>
      <c r="J6" s="40"/>
      <c r="K6" s="40"/>
      <c r="N6" s="19"/>
      <c r="O6" s="19" t="s">
        <v>4</v>
      </c>
      <c r="P6" s="19" t="s">
        <v>5</v>
      </c>
    </row>
    <row r="7" spans="2:16" ht="15.95" customHeight="1">
      <c r="B7" s="40"/>
      <c r="C7" s="40"/>
      <c r="D7" s="40"/>
      <c r="E7" s="40"/>
      <c r="F7" s="40"/>
      <c r="G7" s="40"/>
      <c r="H7" s="40"/>
      <c r="I7" s="40"/>
      <c r="J7" s="40"/>
      <c r="K7" s="40"/>
      <c r="N7" s="19" t="s">
        <v>6</v>
      </c>
      <c r="O7" s="19" t="s">
        <v>7</v>
      </c>
      <c r="P7" s="19">
        <v>233</v>
      </c>
    </row>
    <row r="8" spans="2:16">
      <c r="B8" s="1"/>
      <c r="C8" s="1"/>
      <c r="D8" s="1"/>
      <c r="E8" s="1"/>
      <c r="N8" s="19" t="s">
        <v>8</v>
      </c>
      <c r="O8" s="19" t="s">
        <v>9</v>
      </c>
      <c r="P8" s="19">
        <v>233</v>
      </c>
    </row>
    <row r="9" spans="2:16">
      <c r="C9" s="1"/>
      <c r="D9" s="1"/>
      <c r="E9" s="1"/>
      <c r="N9" s="19" t="s">
        <v>10</v>
      </c>
      <c r="O9" s="19" t="s">
        <v>11</v>
      </c>
      <c r="P9" s="19">
        <v>233</v>
      </c>
    </row>
    <row r="10" spans="2:16">
      <c r="C10" s="1"/>
      <c r="D10" s="1"/>
      <c r="E10" s="1"/>
    </row>
    <row r="11" spans="2:16">
      <c r="B11" s="29"/>
      <c r="C11" s="1"/>
      <c r="D11" s="1"/>
      <c r="E11" s="1"/>
    </row>
    <row r="12" spans="2:16" ht="15.95">
      <c r="B12" s="39" t="s">
        <v>12</v>
      </c>
    </row>
    <row r="13" spans="2:16" ht="224.1" customHeight="1">
      <c r="B13" s="44" t="s">
        <v>13</v>
      </c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</row>
    <row r="14" spans="2:16" ht="15" customHeight="1">
      <c r="B14" s="40"/>
      <c r="C14" s="40"/>
      <c r="D14" s="40"/>
      <c r="E14" s="40"/>
      <c r="F14" s="40"/>
      <c r="G14" s="40"/>
      <c r="H14" s="40"/>
      <c r="I14" s="40"/>
      <c r="J14" s="40"/>
      <c r="K14" s="40"/>
    </row>
    <row r="15" spans="2:16" ht="38.1" customHeight="1">
      <c r="B15" s="44" t="s">
        <v>14</v>
      </c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</row>
    <row r="19" spans="2:2">
      <c r="B19" s="1"/>
    </row>
    <row r="20" spans="2:2">
      <c r="B20" s="1"/>
    </row>
  </sheetData>
  <mergeCells count="3">
    <mergeCell ref="D1:G1"/>
    <mergeCell ref="B13:M13"/>
    <mergeCell ref="B15:M1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59999389629810485"/>
  </sheetPr>
  <dimension ref="B1:T24"/>
  <sheetViews>
    <sheetView topLeftCell="A10" zoomScaleNormal="277" workbookViewId="0">
      <selection activeCell="Q18" sqref="Q18"/>
    </sheetView>
  </sheetViews>
  <sheetFormatPr defaultColWidth="8.85546875" defaultRowHeight="15"/>
  <cols>
    <col min="2" max="2" width="10" customWidth="1"/>
    <col min="17" max="17" width="10.42578125" customWidth="1"/>
    <col min="20" max="20" width="47.42578125" customWidth="1"/>
  </cols>
  <sheetData>
    <row r="1" spans="2:20">
      <c r="B1" s="8"/>
      <c r="D1" s="41" t="s">
        <v>0</v>
      </c>
      <c r="E1" s="42"/>
      <c r="F1" s="42"/>
      <c r="G1" s="42"/>
      <c r="H1" s="42"/>
      <c r="I1" s="43"/>
    </row>
    <row r="3" spans="2:20">
      <c r="B3" s="46" t="s">
        <v>15</v>
      </c>
      <c r="C3" s="47"/>
      <c r="D3" s="47"/>
      <c r="E3" s="47"/>
      <c r="F3" s="47"/>
      <c r="G3" s="47"/>
      <c r="H3" s="47"/>
      <c r="I3" s="47"/>
      <c r="J3" s="47"/>
      <c r="K3" s="48"/>
    </row>
    <row r="6" spans="2:20">
      <c r="B6" s="41" t="s">
        <v>16</v>
      </c>
      <c r="C6" s="42"/>
      <c r="D6" s="42"/>
      <c r="E6" s="43"/>
      <c r="F6" s="23"/>
      <c r="G6" s="23"/>
      <c r="I6" s="41" t="s">
        <v>17</v>
      </c>
      <c r="J6" s="42"/>
      <c r="K6" s="42"/>
      <c r="L6" s="42"/>
      <c r="M6" s="42"/>
      <c r="N6" s="42"/>
      <c r="O6" s="42"/>
      <c r="Q6" s="41" t="s">
        <v>18</v>
      </c>
      <c r="R6" s="42"/>
      <c r="S6" s="42"/>
      <c r="T6" s="42"/>
    </row>
    <row r="8" spans="2:20">
      <c r="B8" s="24" t="s">
        <v>19</v>
      </c>
      <c r="C8" s="60" t="s">
        <v>20</v>
      </c>
      <c r="D8" s="60"/>
      <c r="E8" s="60"/>
      <c r="F8" s="25"/>
      <c r="G8" s="25"/>
      <c r="I8" s="8" t="s">
        <v>21</v>
      </c>
      <c r="Q8" s="59" t="s">
        <v>22</v>
      </c>
      <c r="R8" s="59"/>
      <c r="S8" s="59"/>
      <c r="T8" s="26">
        <v>6</v>
      </c>
    </row>
    <row r="9" spans="2:20">
      <c r="B9" s="27" t="s">
        <v>23</v>
      </c>
      <c r="C9" s="49" t="s">
        <v>24</v>
      </c>
      <c r="D9" s="49"/>
      <c r="E9" s="49"/>
      <c r="F9" s="28"/>
      <c r="G9" s="28"/>
      <c r="I9" s="30"/>
      <c r="Q9" s="59" t="s">
        <v>25</v>
      </c>
      <c r="R9" s="59"/>
      <c r="S9" s="59"/>
      <c r="T9" s="26" t="s">
        <v>26</v>
      </c>
    </row>
    <row r="10" spans="2:20">
      <c r="B10" s="27" t="s">
        <v>27</v>
      </c>
      <c r="C10" s="49" t="s">
        <v>24</v>
      </c>
      <c r="D10" s="49"/>
      <c r="E10" s="49"/>
      <c r="F10" s="28"/>
      <c r="G10" s="28"/>
      <c r="I10" s="50"/>
      <c r="J10" s="51"/>
      <c r="K10" s="51"/>
      <c r="L10" s="51"/>
      <c r="M10" s="51"/>
      <c r="N10" s="51"/>
      <c r="O10" s="52"/>
      <c r="Q10" s="59" t="s">
        <v>28</v>
      </c>
      <c r="R10" s="59" t="s">
        <v>29</v>
      </c>
      <c r="S10" s="59"/>
      <c r="T10" s="26" t="s">
        <v>30</v>
      </c>
    </row>
    <row r="11" spans="2:20">
      <c r="B11" s="27" t="s">
        <v>31</v>
      </c>
      <c r="C11" s="49" t="s">
        <v>24</v>
      </c>
      <c r="D11" s="49"/>
      <c r="E11" s="49"/>
      <c r="F11" s="28"/>
      <c r="G11" s="28"/>
      <c r="I11" s="53"/>
      <c r="J11" s="54"/>
      <c r="K11" s="54"/>
      <c r="L11" s="54"/>
      <c r="M11" s="54"/>
      <c r="N11" s="54"/>
      <c r="O11" s="55"/>
    </row>
    <row r="12" spans="2:20">
      <c r="B12" s="27" t="s">
        <v>32</v>
      </c>
      <c r="C12" s="49" t="s">
        <v>24</v>
      </c>
      <c r="D12" s="49"/>
      <c r="E12" s="49"/>
      <c r="F12" s="28"/>
      <c r="G12" s="28"/>
      <c r="I12" s="53"/>
      <c r="J12" s="54"/>
      <c r="K12" s="54"/>
      <c r="L12" s="54"/>
      <c r="M12" s="54"/>
      <c r="N12" s="54"/>
      <c r="O12" s="55"/>
    </row>
    <row r="13" spans="2:20">
      <c r="B13" s="27" t="s">
        <v>33</v>
      </c>
      <c r="C13" s="49" t="s">
        <v>24</v>
      </c>
      <c r="D13" s="49"/>
      <c r="E13" s="49"/>
      <c r="F13" s="28"/>
      <c r="G13" s="28"/>
      <c r="I13" s="53"/>
      <c r="J13" s="54"/>
      <c r="K13" s="54"/>
      <c r="L13" s="54"/>
      <c r="M13" s="54"/>
      <c r="N13" s="54"/>
      <c r="O13" s="55"/>
      <c r="Q13" s="41" t="s">
        <v>34</v>
      </c>
      <c r="R13" s="42"/>
      <c r="S13" s="42"/>
      <c r="T13" s="42"/>
    </row>
    <row r="14" spans="2:20">
      <c r="B14" s="27" t="s">
        <v>32</v>
      </c>
      <c r="C14" s="49" t="s">
        <v>24</v>
      </c>
      <c r="D14" s="49"/>
      <c r="E14" s="49"/>
      <c r="F14" s="28"/>
      <c r="G14" s="28"/>
      <c r="I14" s="53"/>
      <c r="J14" s="54"/>
      <c r="K14" s="54"/>
      <c r="L14" s="54"/>
      <c r="M14" s="54"/>
      <c r="N14" s="54"/>
      <c r="O14" s="55"/>
    </row>
    <row r="15" spans="2:20">
      <c r="I15" s="53"/>
      <c r="J15" s="54"/>
      <c r="K15" s="54"/>
      <c r="L15" s="54"/>
      <c r="M15" s="54"/>
      <c r="N15" s="54"/>
      <c r="O15" s="55"/>
      <c r="Q15" s="24" t="s">
        <v>35</v>
      </c>
      <c r="R15" s="60" t="s">
        <v>36</v>
      </c>
      <c r="S15" s="60"/>
      <c r="T15" s="60"/>
    </row>
    <row r="16" spans="2:20">
      <c r="I16" s="53"/>
      <c r="J16" s="54"/>
      <c r="K16" s="54"/>
      <c r="L16" s="54"/>
      <c r="M16" s="54"/>
      <c r="N16" s="54"/>
      <c r="O16" s="55"/>
      <c r="Q16" s="27" t="s">
        <v>37</v>
      </c>
      <c r="R16" s="45" t="s">
        <v>38</v>
      </c>
      <c r="S16" s="45"/>
      <c r="T16" s="45"/>
    </row>
    <row r="17" spans="9:20">
      <c r="I17" s="53"/>
      <c r="J17" s="54"/>
      <c r="K17" s="54"/>
      <c r="L17" s="54"/>
      <c r="M17" s="54"/>
      <c r="N17" s="54"/>
      <c r="O17" s="55"/>
      <c r="Q17" s="27" t="s">
        <v>39</v>
      </c>
      <c r="R17" s="45" t="s">
        <v>40</v>
      </c>
      <c r="S17" s="45"/>
      <c r="T17" s="45"/>
    </row>
    <row r="18" spans="9:20">
      <c r="I18" s="53"/>
      <c r="J18" s="54"/>
      <c r="K18" s="54"/>
      <c r="L18" s="54"/>
      <c r="M18" s="54"/>
      <c r="N18" s="54"/>
      <c r="O18" s="55"/>
      <c r="Q18" s="27" t="s">
        <v>41</v>
      </c>
      <c r="R18" s="45" t="s">
        <v>42</v>
      </c>
      <c r="S18" s="45"/>
      <c r="T18" s="45"/>
    </row>
    <row r="19" spans="9:20">
      <c r="I19" s="53"/>
      <c r="J19" s="54"/>
      <c r="K19" s="54"/>
      <c r="L19" s="54"/>
      <c r="M19" s="54"/>
      <c r="N19" s="54"/>
      <c r="O19" s="55"/>
      <c r="Q19" s="27" t="s">
        <v>43</v>
      </c>
      <c r="R19" s="45" t="s">
        <v>44</v>
      </c>
      <c r="S19" s="45"/>
      <c r="T19" s="45"/>
    </row>
    <row r="20" spans="9:20">
      <c r="I20" s="53"/>
      <c r="J20" s="54"/>
      <c r="K20" s="54"/>
      <c r="L20" s="54"/>
      <c r="M20" s="54"/>
      <c r="N20" s="54"/>
      <c r="O20" s="55"/>
      <c r="Q20" s="34" t="s">
        <v>45</v>
      </c>
      <c r="R20" s="45" t="s">
        <v>46</v>
      </c>
      <c r="S20" s="45"/>
      <c r="T20" s="45"/>
    </row>
    <row r="21" spans="9:20">
      <c r="I21" s="53"/>
      <c r="J21" s="54"/>
      <c r="K21" s="54"/>
      <c r="L21" s="54"/>
      <c r="M21" s="54"/>
      <c r="N21" s="54"/>
      <c r="O21" s="55"/>
      <c r="Q21" s="34" t="s">
        <v>47</v>
      </c>
      <c r="R21" s="45" t="s">
        <v>48</v>
      </c>
      <c r="S21" s="45"/>
      <c r="T21" s="45"/>
    </row>
    <row r="22" spans="9:20">
      <c r="I22" s="53"/>
      <c r="J22" s="54"/>
      <c r="K22" s="54"/>
      <c r="L22" s="54"/>
      <c r="M22" s="54"/>
      <c r="N22" s="54"/>
      <c r="O22" s="55"/>
    </row>
    <row r="23" spans="9:20">
      <c r="I23" s="53"/>
      <c r="J23" s="54"/>
      <c r="K23" s="54"/>
      <c r="L23" s="54"/>
      <c r="M23" s="54"/>
      <c r="N23" s="54"/>
      <c r="O23" s="55"/>
    </row>
    <row r="24" spans="9:20">
      <c r="I24" s="56"/>
      <c r="J24" s="57"/>
      <c r="K24" s="57"/>
      <c r="L24" s="57"/>
      <c r="M24" s="57"/>
      <c r="N24" s="57"/>
      <c r="O24" s="58"/>
    </row>
  </sheetData>
  <mergeCells count="24">
    <mergeCell ref="R18:T18"/>
    <mergeCell ref="C9:E9"/>
    <mergeCell ref="Q9:S9"/>
    <mergeCell ref="R16:T16"/>
    <mergeCell ref="C12:E12"/>
    <mergeCell ref="C13:E13"/>
    <mergeCell ref="Q13:T13"/>
    <mergeCell ref="C14:E14"/>
    <mergeCell ref="D1:I1"/>
    <mergeCell ref="R20:T20"/>
    <mergeCell ref="R21:T21"/>
    <mergeCell ref="B3:K3"/>
    <mergeCell ref="C10:E10"/>
    <mergeCell ref="I10:O24"/>
    <mergeCell ref="Q10:S10"/>
    <mergeCell ref="C11:E11"/>
    <mergeCell ref="R15:T15"/>
    <mergeCell ref="C8:E8"/>
    <mergeCell ref="Q8:S8"/>
    <mergeCell ref="B6:E6"/>
    <mergeCell ref="I6:O6"/>
    <mergeCell ref="Q6:T6"/>
    <mergeCell ref="R17:T17"/>
    <mergeCell ref="R19:T19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59999389629810485"/>
  </sheetPr>
  <dimension ref="B1:AE17"/>
  <sheetViews>
    <sheetView topLeftCell="A7" zoomScale="90" zoomScaleNormal="70" workbookViewId="0">
      <selection activeCell="C17" sqref="C17"/>
    </sheetView>
  </sheetViews>
  <sheetFormatPr defaultColWidth="8.85546875" defaultRowHeight="15"/>
  <cols>
    <col min="2" max="2" width="12.28515625" customWidth="1"/>
    <col min="3" max="3" width="44.7109375" customWidth="1"/>
    <col min="4" max="4" width="28.140625" customWidth="1"/>
    <col min="5" max="5" width="19.85546875" bestFit="1" customWidth="1"/>
    <col min="6" max="6" width="10.85546875" customWidth="1"/>
    <col min="7" max="7" width="11.42578125" bestFit="1" customWidth="1"/>
    <col min="8" max="8" width="11.140625" customWidth="1"/>
    <col min="9" max="9" width="9.28515625" customWidth="1"/>
    <col min="10" max="10" width="11.28515625" customWidth="1"/>
    <col min="11" max="11" width="9.42578125" customWidth="1"/>
    <col min="12" max="12" width="11" customWidth="1"/>
    <col min="13" max="15" width="13.42578125" customWidth="1"/>
    <col min="16" max="16" width="10.42578125" customWidth="1"/>
    <col min="17" max="17" width="12.140625" customWidth="1"/>
    <col min="19" max="19" width="11.85546875" customWidth="1"/>
    <col min="20" max="21" width="8.85546875" customWidth="1"/>
    <col min="25" max="25" width="9.140625" customWidth="1"/>
    <col min="26" max="26" width="3.85546875" customWidth="1"/>
    <col min="27" max="28" width="3.140625" customWidth="1"/>
    <col min="29" max="29" width="4" customWidth="1"/>
    <col min="30" max="30" width="3.85546875" customWidth="1"/>
    <col min="31" max="31" width="5.42578125" customWidth="1"/>
  </cols>
  <sheetData>
    <row r="1" spans="2:31">
      <c r="B1" s="8"/>
      <c r="D1" s="41" t="s">
        <v>0</v>
      </c>
      <c r="E1" s="42"/>
      <c r="F1" s="42"/>
      <c r="G1" s="43"/>
    </row>
    <row r="3" spans="2:31">
      <c r="B3" s="61" t="s">
        <v>49</v>
      </c>
      <c r="C3" s="47"/>
      <c r="D3" s="47"/>
      <c r="E3" s="47"/>
      <c r="F3" s="48"/>
    </row>
    <row r="5" spans="2:31">
      <c r="B5" s="7"/>
    </row>
    <row r="6" spans="2:31" ht="15.95">
      <c r="B6" s="62" t="s">
        <v>50</v>
      </c>
      <c r="C6" s="62" t="s">
        <v>51</v>
      </c>
      <c r="D6" s="63" t="s">
        <v>52</v>
      </c>
      <c r="E6" s="62" t="s">
        <v>53</v>
      </c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</row>
    <row r="7" spans="2:31" ht="15.95">
      <c r="B7" s="62"/>
      <c r="C7" s="62"/>
      <c r="D7" s="64"/>
      <c r="E7" s="74" t="s">
        <v>54</v>
      </c>
      <c r="F7" s="69" t="s">
        <v>55</v>
      </c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6" t="s">
        <v>56</v>
      </c>
      <c r="U7" s="66"/>
      <c r="V7" s="66"/>
      <c r="W7" s="66"/>
      <c r="X7" s="66"/>
      <c r="Y7" s="66"/>
      <c r="Z7" s="65" t="s">
        <v>57</v>
      </c>
      <c r="AA7" s="65"/>
      <c r="AB7" s="65"/>
      <c r="AC7" s="65"/>
      <c r="AD7" s="65"/>
      <c r="AE7" s="65"/>
    </row>
    <row r="8" spans="2:31" ht="33" customHeight="1">
      <c r="B8" s="62"/>
      <c r="C8" s="67" t="s">
        <v>58</v>
      </c>
      <c r="D8" s="67" t="s">
        <v>59</v>
      </c>
      <c r="E8" s="74"/>
      <c r="F8" s="69" t="s">
        <v>60</v>
      </c>
      <c r="G8" s="69"/>
      <c r="H8" s="69" t="s">
        <v>61</v>
      </c>
      <c r="I8" s="69"/>
      <c r="J8" s="69" t="s">
        <v>62</v>
      </c>
      <c r="K8" s="69"/>
      <c r="L8" s="69" t="s">
        <v>63</v>
      </c>
      <c r="M8" s="69"/>
      <c r="N8" s="72" t="s">
        <v>64</v>
      </c>
      <c r="O8" s="73"/>
      <c r="P8" s="72" t="s">
        <v>65</v>
      </c>
      <c r="Q8" s="73"/>
      <c r="R8" s="72" t="s">
        <v>66</v>
      </c>
      <c r="S8" s="73"/>
      <c r="T8" s="70" t="s">
        <v>37</v>
      </c>
      <c r="U8" s="70" t="s">
        <v>39</v>
      </c>
      <c r="V8" s="70" t="s">
        <v>41</v>
      </c>
      <c r="W8" s="70" t="s">
        <v>43</v>
      </c>
      <c r="X8" s="70" t="s">
        <v>45</v>
      </c>
      <c r="Y8" s="66" t="s">
        <v>47</v>
      </c>
      <c r="Z8" s="65">
        <v>0</v>
      </c>
      <c r="AA8" s="65">
        <v>1</v>
      </c>
      <c r="AB8" s="65">
        <v>2</v>
      </c>
      <c r="AC8" s="65" t="s">
        <v>67</v>
      </c>
      <c r="AD8" s="65" t="s">
        <v>68</v>
      </c>
      <c r="AE8" s="65" t="s">
        <v>69</v>
      </c>
    </row>
    <row r="9" spans="2:31" ht="17.100000000000001">
      <c r="B9" s="62"/>
      <c r="C9" s="68"/>
      <c r="D9" s="68"/>
      <c r="E9" s="74"/>
      <c r="F9" s="9" t="s">
        <v>70</v>
      </c>
      <c r="G9" s="9" t="s">
        <v>71</v>
      </c>
      <c r="H9" s="9" t="s">
        <v>70</v>
      </c>
      <c r="I9" s="9" t="s">
        <v>71</v>
      </c>
      <c r="J9" s="9" t="s">
        <v>70</v>
      </c>
      <c r="K9" s="9" t="s">
        <v>71</v>
      </c>
      <c r="L9" s="9" t="s">
        <v>70</v>
      </c>
      <c r="M9" s="9" t="s">
        <v>71</v>
      </c>
      <c r="N9" s="9" t="s">
        <v>70</v>
      </c>
      <c r="O9" s="9" t="s">
        <v>71</v>
      </c>
      <c r="P9" s="9" t="s">
        <v>70</v>
      </c>
      <c r="Q9" s="9" t="s">
        <v>71</v>
      </c>
      <c r="R9" s="9" t="s">
        <v>70</v>
      </c>
      <c r="S9" s="9" t="s">
        <v>71</v>
      </c>
      <c r="T9" s="71"/>
      <c r="U9" s="71"/>
      <c r="V9" s="71"/>
      <c r="W9" s="71"/>
      <c r="X9" s="71"/>
      <c r="Y9" s="66"/>
      <c r="Z9" s="65"/>
      <c r="AA9" s="65"/>
      <c r="AB9" s="65"/>
      <c r="AC9" s="65"/>
      <c r="AD9" s="65"/>
      <c r="AE9" s="65"/>
    </row>
    <row r="10" spans="2:31" ht="33.950000000000003">
      <c r="B10" s="10" t="s">
        <v>72</v>
      </c>
      <c r="C10" s="10" t="s">
        <v>73</v>
      </c>
      <c r="D10" s="11" t="s">
        <v>74</v>
      </c>
      <c r="E10" s="12" t="s">
        <v>75</v>
      </c>
      <c r="F10" s="35" t="b">
        <v>1</v>
      </c>
      <c r="G10" s="35" t="b">
        <v>0</v>
      </c>
      <c r="H10" s="35" t="b">
        <v>0</v>
      </c>
      <c r="I10" s="35" t="b">
        <v>0</v>
      </c>
      <c r="J10" s="35" t="b">
        <v>0</v>
      </c>
      <c r="K10" s="35" t="b">
        <v>0</v>
      </c>
      <c r="L10" s="35" t="b">
        <v>0</v>
      </c>
      <c r="M10" s="35" t="b">
        <v>0</v>
      </c>
      <c r="N10" s="35" t="b">
        <v>0</v>
      </c>
      <c r="O10" s="35" t="b">
        <v>0</v>
      </c>
      <c r="P10" s="35" t="b">
        <v>0</v>
      </c>
      <c r="Q10" s="35" t="b">
        <v>0</v>
      </c>
      <c r="R10" s="35" t="b">
        <v>0</v>
      </c>
      <c r="S10" s="35" t="b">
        <v>0</v>
      </c>
      <c r="T10" s="36" t="b">
        <v>1</v>
      </c>
      <c r="U10" s="36" t="b">
        <v>0</v>
      </c>
      <c r="V10" s="36" t="b">
        <v>0</v>
      </c>
      <c r="W10" s="36" t="b">
        <v>0</v>
      </c>
      <c r="X10" s="36" t="b">
        <v>0</v>
      </c>
      <c r="Y10" s="36" t="b">
        <v>0</v>
      </c>
      <c r="Z10" s="37" t="b">
        <v>1</v>
      </c>
      <c r="AA10" s="37" t="b">
        <v>0</v>
      </c>
      <c r="AB10" s="37" t="b">
        <v>0</v>
      </c>
      <c r="AC10" s="37" t="b">
        <v>0</v>
      </c>
      <c r="AD10" s="37" t="b">
        <v>0</v>
      </c>
      <c r="AE10" s="37" t="b">
        <v>0</v>
      </c>
    </row>
    <row r="11" spans="2:31" ht="48.95" customHeight="1">
      <c r="B11" s="10" t="s">
        <v>76</v>
      </c>
      <c r="C11" s="10" t="s">
        <v>77</v>
      </c>
      <c r="D11" s="11" t="s">
        <v>78</v>
      </c>
      <c r="E11" s="12" t="s">
        <v>79</v>
      </c>
      <c r="F11" s="35" t="b">
        <v>0</v>
      </c>
      <c r="G11" s="35" t="b">
        <v>1</v>
      </c>
      <c r="H11" s="35" t="b">
        <v>1</v>
      </c>
      <c r="I11" s="35" t="b">
        <v>0</v>
      </c>
      <c r="J11" s="35" t="b">
        <v>0</v>
      </c>
      <c r="K11" s="35" t="b">
        <v>0</v>
      </c>
      <c r="L11" s="35" t="b">
        <v>1</v>
      </c>
      <c r="M11" s="35" t="b">
        <v>0</v>
      </c>
      <c r="N11" s="35" t="b">
        <v>0</v>
      </c>
      <c r="O11" s="35" t="b">
        <v>0</v>
      </c>
      <c r="P11" s="35" t="b">
        <v>0</v>
      </c>
      <c r="Q11" s="35" t="b">
        <v>0</v>
      </c>
      <c r="R11" s="35" t="b">
        <v>0</v>
      </c>
      <c r="S11" s="35" t="b">
        <v>0</v>
      </c>
      <c r="T11" s="36" t="b">
        <v>0</v>
      </c>
      <c r="U11" s="36" t="b">
        <v>1</v>
      </c>
      <c r="V11" s="36" t="b">
        <v>0</v>
      </c>
      <c r="W11" s="36" t="b">
        <v>0</v>
      </c>
      <c r="X11" s="36" t="b">
        <v>0</v>
      </c>
      <c r="Y11" s="36" t="b">
        <v>0</v>
      </c>
      <c r="Z11" s="37" t="b">
        <v>1</v>
      </c>
      <c r="AA11" s="37" t="b">
        <v>0</v>
      </c>
      <c r="AB11" s="37" t="b">
        <v>0</v>
      </c>
      <c r="AC11" s="37" t="b">
        <v>0</v>
      </c>
      <c r="AD11" s="37" t="b">
        <v>0</v>
      </c>
      <c r="AE11" s="37" t="b">
        <v>0</v>
      </c>
    </row>
    <row r="12" spans="2:31" ht="33.950000000000003">
      <c r="B12" s="10" t="s">
        <v>80</v>
      </c>
      <c r="C12" s="10" t="s">
        <v>81</v>
      </c>
      <c r="D12" s="11" t="s">
        <v>78</v>
      </c>
      <c r="E12" s="12" t="s">
        <v>79</v>
      </c>
      <c r="F12" s="35" t="b">
        <v>0</v>
      </c>
      <c r="G12" s="35" t="b">
        <v>1</v>
      </c>
      <c r="H12" s="35" t="b">
        <v>0</v>
      </c>
      <c r="I12" s="35" t="b">
        <v>1</v>
      </c>
      <c r="J12" s="35" t="b">
        <v>1</v>
      </c>
      <c r="K12" s="35" t="b">
        <v>0</v>
      </c>
      <c r="L12" s="35" t="b">
        <v>1</v>
      </c>
      <c r="M12" s="35" t="b">
        <v>0</v>
      </c>
      <c r="N12" s="35" t="b">
        <v>0</v>
      </c>
      <c r="O12" s="35" t="b">
        <v>0</v>
      </c>
      <c r="P12" s="35" t="b">
        <v>0</v>
      </c>
      <c r="Q12" s="35" t="b">
        <v>0</v>
      </c>
      <c r="R12" s="35" t="b">
        <v>0</v>
      </c>
      <c r="S12" s="35" t="b">
        <v>0</v>
      </c>
      <c r="T12" s="36" t="b">
        <v>0</v>
      </c>
      <c r="U12" s="36" t="b">
        <v>1</v>
      </c>
      <c r="V12" s="36" t="b">
        <v>0</v>
      </c>
      <c r="W12" s="36" t="b">
        <v>0</v>
      </c>
      <c r="X12" s="36" t="b">
        <v>0</v>
      </c>
      <c r="Y12" s="36" t="b">
        <v>0</v>
      </c>
      <c r="Z12" s="37" t="b">
        <v>1</v>
      </c>
      <c r="AA12" s="37" t="b">
        <v>0</v>
      </c>
      <c r="AB12" s="37" t="b">
        <v>0</v>
      </c>
      <c r="AC12" s="37" t="b">
        <v>0</v>
      </c>
      <c r="AD12" s="37" t="b">
        <v>0</v>
      </c>
      <c r="AE12" s="37" t="b">
        <v>0</v>
      </c>
    </row>
    <row r="13" spans="2:31" ht="54.95" customHeight="1">
      <c r="B13" s="10" t="s">
        <v>82</v>
      </c>
      <c r="C13" s="10" t="s">
        <v>83</v>
      </c>
      <c r="D13" s="11" t="s">
        <v>84</v>
      </c>
      <c r="E13" s="12" t="s">
        <v>85</v>
      </c>
      <c r="F13" s="35" t="b">
        <v>0</v>
      </c>
      <c r="G13" s="35" t="b">
        <v>1</v>
      </c>
      <c r="H13" s="35" t="b">
        <v>0</v>
      </c>
      <c r="I13" s="35" t="b">
        <v>1</v>
      </c>
      <c r="J13" s="35" t="b">
        <v>0</v>
      </c>
      <c r="K13" s="35" t="b">
        <v>1</v>
      </c>
      <c r="L13" s="35" t="b">
        <v>0</v>
      </c>
      <c r="M13" s="35" t="b">
        <v>1</v>
      </c>
      <c r="N13" s="35" t="b">
        <v>1</v>
      </c>
      <c r="O13" s="35" t="b">
        <v>0</v>
      </c>
      <c r="P13" s="35" t="b">
        <v>1</v>
      </c>
      <c r="Q13" s="35" t="b">
        <v>0</v>
      </c>
      <c r="R13" s="35" t="b">
        <v>0</v>
      </c>
      <c r="S13" s="35" t="b">
        <v>0</v>
      </c>
      <c r="T13" s="36" t="b">
        <v>0</v>
      </c>
      <c r="U13" s="36" t="b">
        <v>0</v>
      </c>
      <c r="V13" s="36" t="b">
        <v>0</v>
      </c>
      <c r="W13" s="36" t="b">
        <v>1</v>
      </c>
      <c r="X13" s="36" t="b">
        <v>0</v>
      </c>
      <c r="Y13" s="36" t="b">
        <v>0</v>
      </c>
      <c r="Z13" s="37" t="b">
        <v>0</v>
      </c>
      <c r="AA13" s="37" t="b">
        <v>1</v>
      </c>
      <c r="AB13" s="37" t="b">
        <v>0</v>
      </c>
      <c r="AC13" s="37" t="b">
        <v>0</v>
      </c>
      <c r="AD13" s="37" t="b">
        <v>1</v>
      </c>
      <c r="AE13" s="37" t="b">
        <v>0</v>
      </c>
    </row>
    <row r="14" spans="2:31" ht="56.1" customHeight="1">
      <c r="B14" s="10" t="s">
        <v>86</v>
      </c>
      <c r="C14" s="10" t="s">
        <v>87</v>
      </c>
      <c r="D14" s="11" t="s">
        <v>88</v>
      </c>
      <c r="E14" s="12" t="s">
        <v>89</v>
      </c>
      <c r="F14" s="35" t="b">
        <v>0</v>
      </c>
      <c r="G14" s="35" t="b">
        <v>1</v>
      </c>
      <c r="H14" s="35" t="b">
        <v>0</v>
      </c>
      <c r="I14" s="35" t="b">
        <v>1</v>
      </c>
      <c r="J14" s="35" t="b">
        <v>0</v>
      </c>
      <c r="K14" s="35" t="b">
        <v>1</v>
      </c>
      <c r="L14" s="35" t="b">
        <v>0</v>
      </c>
      <c r="M14" s="35" t="b">
        <v>1</v>
      </c>
      <c r="N14" s="35" t="b">
        <v>1</v>
      </c>
      <c r="O14" s="35" t="b">
        <v>0</v>
      </c>
      <c r="P14" s="35" t="b">
        <v>0</v>
      </c>
      <c r="Q14" s="35" t="b">
        <v>1</v>
      </c>
      <c r="R14" s="35" t="b">
        <v>1</v>
      </c>
      <c r="S14" s="35" t="b">
        <v>0</v>
      </c>
      <c r="T14" s="36" t="b">
        <v>0</v>
      </c>
      <c r="U14" s="36" t="b">
        <v>0</v>
      </c>
      <c r="V14" s="36" t="b">
        <v>0</v>
      </c>
      <c r="W14" s="36" t="b">
        <v>0</v>
      </c>
      <c r="X14" s="36" t="b">
        <v>1</v>
      </c>
      <c r="Y14" s="36" t="b">
        <v>0</v>
      </c>
      <c r="Z14" s="37" t="b">
        <v>0</v>
      </c>
      <c r="AA14" s="37" t="b">
        <v>1</v>
      </c>
      <c r="AB14" s="37" t="b">
        <v>0</v>
      </c>
      <c r="AC14" s="37" t="b">
        <v>0</v>
      </c>
      <c r="AD14" s="37" t="b">
        <v>1</v>
      </c>
      <c r="AE14" s="37" t="b">
        <v>0</v>
      </c>
    </row>
    <row r="15" spans="2:31" ht="62.1" customHeight="1">
      <c r="B15" s="10" t="s">
        <v>90</v>
      </c>
      <c r="C15" s="10" t="s">
        <v>91</v>
      </c>
      <c r="D15" s="11" t="s">
        <v>92</v>
      </c>
      <c r="E15" s="12" t="s">
        <v>93</v>
      </c>
      <c r="F15" s="35" t="b">
        <v>0</v>
      </c>
      <c r="G15" s="35" t="b">
        <v>1</v>
      </c>
      <c r="H15" s="35" t="b">
        <v>0</v>
      </c>
      <c r="I15" s="35" t="b">
        <v>1</v>
      </c>
      <c r="J15" s="35" t="b">
        <v>0</v>
      </c>
      <c r="K15" s="35" t="b">
        <v>1</v>
      </c>
      <c r="L15" s="35" t="b">
        <v>0</v>
      </c>
      <c r="M15" s="35" t="b">
        <v>1</v>
      </c>
      <c r="N15" s="35" t="b">
        <v>1</v>
      </c>
      <c r="O15" s="35" t="b">
        <v>1</v>
      </c>
      <c r="P15" s="35" t="b">
        <v>0</v>
      </c>
      <c r="Q15" s="35" t="b">
        <v>1</v>
      </c>
      <c r="R15" s="35" t="b">
        <v>0</v>
      </c>
      <c r="S15" s="35" t="b">
        <v>1</v>
      </c>
      <c r="T15" s="36" t="b">
        <v>0</v>
      </c>
      <c r="U15" s="36" t="b">
        <v>0</v>
      </c>
      <c r="V15" s="36" t="b">
        <v>0</v>
      </c>
      <c r="W15" s="36" t="b">
        <v>0</v>
      </c>
      <c r="X15" s="36" t="b">
        <v>0</v>
      </c>
      <c r="Y15" s="36" t="b">
        <v>1</v>
      </c>
      <c r="Z15" s="37" t="b">
        <v>0</v>
      </c>
      <c r="AA15" s="37" t="b">
        <v>1</v>
      </c>
      <c r="AB15" s="37" t="b">
        <v>0</v>
      </c>
      <c r="AC15" s="37" t="b">
        <v>0</v>
      </c>
      <c r="AD15" s="37" t="b">
        <v>1</v>
      </c>
      <c r="AE15" s="37" t="b">
        <v>0</v>
      </c>
    </row>
    <row r="16" spans="2:31" ht="68.099999999999994">
      <c r="B16" s="10" t="s">
        <v>94</v>
      </c>
      <c r="C16" s="10" t="s">
        <v>95</v>
      </c>
      <c r="D16" s="11" t="s">
        <v>92</v>
      </c>
      <c r="E16" s="12" t="s">
        <v>93</v>
      </c>
      <c r="F16" s="35" t="b">
        <v>0</v>
      </c>
      <c r="G16" s="35" t="b">
        <v>1</v>
      </c>
      <c r="H16" s="35" t="b">
        <v>0</v>
      </c>
      <c r="I16" s="35" t="b">
        <v>1</v>
      </c>
      <c r="J16" s="35" t="b">
        <v>0</v>
      </c>
      <c r="K16" s="35" t="b">
        <v>1</v>
      </c>
      <c r="L16" s="35" t="b">
        <v>0</v>
      </c>
      <c r="M16" s="35" t="b">
        <v>1</v>
      </c>
      <c r="N16" s="35" t="b">
        <v>1</v>
      </c>
      <c r="O16" s="35" t="b">
        <v>1</v>
      </c>
      <c r="P16" s="35" t="b">
        <v>0</v>
      </c>
      <c r="Q16" s="35" t="b">
        <v>1</v>
      </c>
      <c r="R16" s="35" t="b">
        <v>0</v>
      </c>
      <c r="S16" s="35" t="b">
        <v>1</v>
      </c>
      <c r="T16" s="36" t="b">
        <v>0</v>
      </c>
      <c r="U16" s="36" t="b">
        <v>0</v>
      </c>
      <c r="V16" s="36" t="b">
        <v>0</v>
      </c>
      <c r="W16" s="36" t="b">
        <v>0</v>
      </c>
      <c r="X16" s="36" t="b">
        <v>0</v>
      </c>
      <c r="Y16" s="36" t="b">
        <v>0</v>
      </c>
      <c r="Z16" s="37" t="b">
        <v>0</v>
      </c>
      <c r="AA16" s="37" t="b">
        <v>0</v>
      </c>
      <c r="AB16" s="37" t="b">
        <v>1</v>
      </c>
      <c r="AC16" s="37" t="b">
        <v>0</v>
      </c>
      <c r="AD16" s="37" t="b">
        <v>1</v>
      </c>
      <c r="AE16" s="37" t="b">
        <v>0</v>
      </c>
    </row>
    <row r="17" spans="2:31" ht="68.099999999999994">
      <c r="B17" s="10" t="s">
        <v>96</v>
      </c>
      <c r="C17" s="10" t="s">
        <v>97</v>
      </c>
      <c r="D17" s="11" t="s">
        <v>84</v>
      </c>
      <c r="E17" s="12" t="s">
        <v>85</v>
      </c>
      <c r="F17" s="35" t="b">
        <v>0</v>
      </c>
      <c r="G17" s="35" t="b">
        <v>1</v>
      </c>
      <c r="H17" s="35" t="b">
        <v>0</v>
      </c>
      <c r="I17" s="35" t="b">
        <v>1</v>
      </c>
      <c r="J17" s="35" t="b">
        <v>0</v>
      </c>
      <c r="K17" s="35" t="b">
        <v>1</v>
      </c>
      <c r="L17" s="35" t="b">
        <v>0</v>
      </c>
      <c r="M17" s="35" t="b">
        <v>1</v>
      </c>
      <c r="N17" s="35" t="b">
        <v>1</v>
      </c>
      <c r="O17" s="35" t="b">
        <v>0</v>
      </c>
      <c r="P17" s="35" t="b">
        <v>1</v>
      </c>
      <c r="Q17" s="35" t="b">
        <v>0</v>
      </c>
      <c r="R17" s="35" t="b">
        <v>0</v>
      </c>
      <c r="S17" s="35" t="b">
        <v>0</v>
      </c>
      <c r="T17" s="36" t="b">
        <v>0</v>
      </c>
      <c r="U17" s="36" t="b">
        <v>0</v>
      </c>
      <c r="V17" s="36" t="b">
        <v>0</v>
      </c>
      <c r="W17" s="36" t="b">
        <v>1</v>
      </c>
      <c r="X17" s="36" t="b">
        <v>0</v>
      </c>
      <c r="Y17" s="36" t="b">
        <v>0</v>
      </c>
      <c r="Z17" s="37" t="b">
        <v>0</v>
      </c>
      <c r="AA17" s="37" t="b">
        <v>1</v>
      </c>
      <c r="AB17" s="37" t="b">
        <v>0</v>
      </c>
      <c r="AC17" s="37" t="b">
        <v>1</v>
      </c>
      <c r="AD17" s="37" t="b">
        <v>0</v>
      </c>
      <c r="AE17" s="37" t="b">
        <v>1</v>
      </c>
    </row>
  </sheetData>
  <mergeCells count="31">
    <mergeCell ref="C8:C9"/>
    <mergeCell ref="E7:E9"/>
    <mergeCell ref="F7:S7"/>
    <mergeCell ref="T7:Y7"/>
    <mergeCell ref="H8:I8"/>
    <mergeCell ref="J8:K8"/>
    <mergeCell ref="L8:M8"/>
    <mergeCell ref="Z8:Z9"/>
    <mergeCell ref="T8:T9"/>
    <mergeCell ref="U8:U9"/>
    <mergeCell ref="V8:V9"/>
    <mergeCell ref="W8:W9"/>
    <mergeCell ref="R8:S8"/>
    <mergeCell ref="P8:Q8"/>
    <mergeCell ref="N8:O8"/>
    <mergeCell ref="D1:G1"/>
    <mergeCell ref="B3:F3"/>
    <mergeCell ref="B6:B9"/>
    <mergeCell ref="C6:C7"/>
    <mergeCell ref="D6:D7"/>
    <mergeCell ref="E6:AE6"/>
    <mergeCell ref="AD8:AD9"/>
    <mergeCell ref="Y8:Y9"/>
    <mergeCell ref="D8:D9"/>
    <mergeCell ref="F8:G8"/>
    <mergeCell ref="AA8:AA9"/>
    <mergeCell ref="AB8:AB9"/>
    <mergeCell ref="AC8:AC9"/>
    <mergeCell ref="X8:X9"/>
    <mergeCell ref="Z7:AE7"/>
    <mergeCell ref="AE8:AE9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 tint="0.59999389629810485"/>
  </sheetPr>
  <dimension ref="B1:J19"/>
  <sheetViews>
    <sheetView tabSelected="1" topLeftCell="A13" workbookViewId="0">
      <selection activeCell="E19" sqref="E19"/>
    </sheetView>
  </sheetViews>
  <sheetFormatPr defaultColWidth="8.85546875" defaultRowHeight="15"/>
  <cols>
    <col min="3" max="3" width="7.140625" bestFit="1" customWidth="1"/>
    <col min="4" max="4" width="11.28515625" bestFit="1" customWidth="1"/>
    <col min="5" max="5" width="35.85546875" customWidth="1"/>
    <col min="6" max="6" width="45.7109375" customWidth="1"/>
    <col min="7" max="7" width="33" customWidth="1"/>
    <col min="8" max="8" width="34.42578125" customWidth="1"/>
    <col min="9" max="9" width="16.140625" bestFit="1" customWidth="1"/>
    <col min="11" max="11" width="12.28515625" customWidth="1"/>
  </cols>
  <sheetData>
    <row r="1" spans="2:10">
      <c r="B1" s="8"/>
      <c r="D1" s="41" t="s">
        <v>0</v>
      </c>
      <c r="E1" s="42"/>
      <c r="F1" s="42"/>
    </row>
    <row r="3" spans="2:10">
      <c r="B3" s="77" t="s">
        <v>98</v>
      </c>
      <c r="C3" s="77"/>
      <c r="D3" s="77"/>
      <c r="E3" s="77"/>
      <c r="F3" s="77"/>
      <c r="G3" s="77"/>
      <c r="H3" s="77"/>
    </row>
    <row r="4" spans="2:10">
      <c r="B4" s="78" t="s">
        <v>99</v>
      </c>
      <c r="C4" s="85" t="s">
        <v>100</v>
      </c>
      <c r="D4" s="87" t="s">
        <v>101</v>
      </c>
      <c r="E4" s="80" t="s">
        <v>102</v>
      </c>
      <c r="F4" s="84"/>
      <c r="G4" s="80" t="s">
        <v>103</v>
      </c>
      <c r="H4" s="81"/>
    </row>
    <row r="5" spans="2:10" ht="15.95" thickBot="1">
      <c r="B5" s="79"/>
      <c r="C5" s="86"/>
      <c r="D5" s="88"/>
      <c r="E5" s="2" t="s">
        <v>104</v>
      </c>
      <c r="F5" s="2" t="s">
        <v>105</v>
      </c>
      <c r="G5" s="2" t="s">
        <v>106</v>
      </c>
      <c r="H5" s="2" t="s">
        <v>107</v>
      </c>
    </row>
    <row r="6" spans="2:10" ht="32.25">
      <c r="B6" s="13">
        <v>16</v>
      </c>
      <c r="C6" s="82" t="s">
        <v>108</v>
      </c>
      <c r="D6" s="4" t="s">
        <v>72</v>
      </c>
      <c r="E6" s="14" t="s">
        <v>109</v>
      </c>
      <c r="F6" s="14" t="s">
        <v>110</v>
      </c>
      <c r="G6" s="11" t="s">
        <v>74</v>
      </c>
      <c r="H6" s="105" t="s">
        <v>74</v>
      </c>
    </row>
    <row r="7" spans="2:10" ht="32.25">
      <c r="B7" s="13">
        <v>17</v>
      </c>
      <c r="C7" s="82"/>
      <c r="D7" s="4" t="s">
        <v>111</v>
      </c>
      <c r="E7" s="14" t="s">
        <v>112</v>
      </c>
      <c r="F7" s="14" t="s">
        <v>110</v>
      </c>
      <c r="G7" s="11" t="s">
        <v>78</v>
      </c>
      <c r="H7" s="106" t="s">
        <v>78</v>
      </c>
    </row>
    <row r="8" spans="2:10" ht="32.25">
      <c r="B8" s="13">
        <v>18</v>
      </c>
      <c r="C8" s="82"/>
      <c r="D8" s="4" t="s">
        <v>113</v>
      </c>
      <c r="E8" s="13" t="s">
        <v>114</v>
      </c>
      <c r="F8" s="14" t="s">
        <v>110</v>
      </c>
      <c r="G8" s="11" t="s">
        <v>78</v>
      </c>
      <c r="H8" s="106" t="s">
        <v>78</v>
      </c>
    </row>
    <row r="9" spans="2:10" ht="60.75">
      <c r="B9" s="13">
        <v>19</v>
      </c>
      <c r="C9" s="82"/>
      <c r="D9" s="4" t="s">
        <v>115</v>
      </c>
      <c r="E9" s="33" t="s">
        <v>116</v>
      </c>
      <c r="F9" s="14" t="s">
        <v>110</v>
      </c>
      <c r="G9" s="11" t="s">
        <v>84</v>
      </c>
      <c r="H9" s="107" t="s">
        <v>84</v>
      </c>
    </row>
    <row r="10" spans="2:10" ht="60.75">
      <c r="B10" s="13">
        <v>20</v>
      </c>
      <c r="C10" s="82"/>
      <c r="D10" s="4" t="s">
        <v>117</v>
      </c>
      <c r="E10" s="33" t="s">
        <v>118</v>
      </c>
      <c r="F10" s="14" t="s">
        <v>110</v>
      </c>
      <c r="G10" s="11" t="s">
        <v>88</v>
      </c>
      <c r="H10" s="106" t="s">
        <v>88</v>
      </c>
    </row>
    <row r="11" spans="2:10" ht="60.75">
      <c r="B11" s="13">
        <v>21</v>
      </c>
      <c r="C11" s="82"/>
      <c r="D11" s="4" t="s">
        <v>119</v>
      </c>
      <c r="E11" s="33" t="s">
        <v>120</v>
      </c>
      <c r="F11" s="14" t="s">
        <v>110</v>
      </c>
      <c r="G11" s="11" t="s">
        <v>92</v>
      </c>
      <c r="H11" s="108" t="s">
        <v>92</v>
      </c>
    </row>
    <row r="12" spans="2:10" ht="76.5">
      <c r="B12" s="13">
        <v>22</v>
      </c>
      <c r="C12" s="82"/>
      <c r="D12" s="4" t="s">
        <v>121</v>
      </c>
      <c r="E12" s="33" t="s">
        <v>122</v>
      </c>
      <c r="F12" s="14" t="s">
        <v>110</v>
      </c>
      <c r="G12" s="11" t="s">
        <v>92</v>
      </c>
      <c r="H12" s="108" t="s">
        <v>92</v>
      </c>
    </row>
    <row r="13" spans="2:10" ht="76.5">
      <c r="B13" s="2">
        <v>23</v>
      </c>
      <c r="C13" s="83"/>
      <c r="D13" s="4" t="s">
        <v>123</v>
      </c>
      <c r="E13" s="38" t="s">
        <v>124</v>
      </c>
      <c r="F13" s="14" t="s">
        <v>110</v>
      </c>
      <c r="G13" s="11" t="s">
        <v>84</v>
      </c>
      <c r="H13" s="109" t="s">
        <v>84</v>
      </c>
    </row>
    <row r="14" spans="2:10" ht="15.95" thickTop="1">
      <c r="B14" s="3"/>
      <c r="C14" s="3"/>
      <c r="D14" s="3"/>
      <c r="E14" s="3"/>
      <c r="F14" s="3"/>
      <c r="G14" s="3"/>
      <c r="H14" s="3"/>
    </row>
    <row r="15" spans="2:10" ht="15.95" thickBot="1">
      <c r="B15" s="3" t="s">
        <v>125</v>
      </c>
      <c r="G15" s="15"/>
    </row>
    <row r="16" spans="2:10" ht="17.100000000000001" thickTop="1" thickBot="1">
      <c r="B16" s="75" t="s">
        <v>126</v>
      </c>
      <c r="C16" s="76"/>
      <c r="D16" s="76"/>
      <c r="E16" s="76"/>
      <c r="F16" s="32" t="s">
        <v>127</v>
      </c>
      <c r="G16" s="76"/>
      <c r="H16" s="92"/>
      <c r="I16" s="97" t="s">
        <v>128</v>
      </c>
      <c r="J16" s="98"/>
    </row>
    <row r="17" spans="2:10" ht="15.95" thickTop="1">
      <c r="B17" s="96" t="s">
        <v>129</v>
      </c>
      <c r="C17" s="100" t="s">
        <v>130</v>
      </c>
      <c r="D17" s="100" t="s">
        <v>131</v>
      </c>
      <c r="E17" s="102" t="s">
        <v>132</v>
      </c>
      <c r="F17" s="89" t="s">
        <v>133</v>
      </c>
      <c r="G17" s="90" t="s">
        <v>134</v>
      </c>
      <c r="H17" s="93" t="s">
        <v>135</v>
      </c>
      <c r="I17" s="95" t="s">
        <v>136</v>
      </c>
      <c r="J17" s="85" t="s">
        <v>137</v>
      </c>
    </row>
    <row r="18" spans="2:10">
      <c r="B18" s="99"/>
      <c r="C18" s="101"/>
      <c r="D18" s="101"/>
      <c r="E18" s="103"/>
      <c r="F18" s="104"/>
      <c r="G18" s="91"/>
      <c r="H18" s="94"/>
      <c r="I18" s="96"/>
      <c r="J18" s="89"/>
    </row>
    <row r="19" spans="2:10">
      <c r="B19" s="19">
        <f>SUM(C19:D19)</f>
        <v>8</v>
      </c>
      <c r="C19" s="16">
        <v>8</v>
      </c>
      <c r="D19" s="16">
        <v>0</v>
      </c>
      <c r="E19" s="17" t="s">
        <v>138</v>
      </c>
      <c r="F19" s="18">
        <v>0</v>
      </c>
      <c r="G19" s="20">
        <v>0</v>
      </c>
      <c r="H19" s="21"/>
      <c r="I19" s="6" t="s">
        <v>139</v>
      </c>
      <c r="J19" s="22">
        <f>C19</f>
        <v>8</v>
      </c>
    </row>
  </sheetData>
  <mergeCells count="20">
    <mergeCell ref="B17:B18"/>
    <mergeCell ref="C17:C18"/>
    <mergeCell ref="D17:D18"/>
    <mergeCell ref="E17:E18"/>
    <mergeCell ref="F17:F18"/>
    <mergeCell ref="J17:J18"/>
    <mergeCell ref="G17:G18"/>
    <mergeCell ref="G16:H16"/>
    <mergeCell ref="H17:H18"/>
    <mergeCell ref="I17:I18"/>
    <mergeCell ref="I16:J16"/>
    <mergeCell ref="B16:E16"/>
    <mergeCell ref="D1:F1"/>
    <mergeCell ref="B3:H3"/>
    <mergeCell ref="B4:B5"/>
    <mergeCell ref="G4:H4"/>
    <mergeCell ref="C6:C13"/>
    <mergeCell ref="E4:F4"/>
    <mergeCell ref="C4:C5"/>
    <mergeCell ref="D4:D5"/>
  </mergeCells>
  <phoneticPr fontId="18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19BB071F23F542A5DF0E9C9037AD04" ma:contentTypeVersion="3" ma:contentTypeDescription="Create a new document." ma:contentTypeScope="" ma:versionID="798a38e6de461387c626d04793181ea9">
  <xsd:schema xmlns:xsd="http://www.w3.org/2001/XMLSchema" xmlns:xs="http://www.w3.org/2001/XMLSchema" xmlns:p="http://schemas.microsoft.com/office/2006/metadata/properties" xmlns:ns2="301f98df-4edd-4096-94f8-2f8af3eee570" targetNamespace="http://schemas.microsoft.com/office/2006/metadata/properties" ma:root="true" ma:fieldsID="b4b8dab68acb31e3ac71f6347d499c29" ns2:_="">
    <xsd:import namespace="301f98df-4edd-4096-94f8-2f8af3eee5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1f98df-4edd-4096-94f8-2f8af3eee5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2F5940-EC19-4D08-A8C2-FA31EF734077}"/>
</file>

<file path=customXml/itemProps2.xml><?xml version="1.0" encoding="utf-8"?>
<ds:datastoreItem xmlns:ds="http://schemas.openxmlformats.org/officeDocument/2006/customXml" ds:itemID="{EECFCB93-350B-4228-B7F4-DB12383611F2}"/>
</file>

<file path=customXml/itemProps3.xml><?xml version="1.0" encoding="utf-8"?>
<ds:datastoreItem xmlns:ds="http://schemas.openxmlformats.org/officeDocument/2006/customXml" ds:itemID="{A94B7F00-F329-4E8F-A3EE-411E39CDE6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2026-04-03T17:46:54Z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0x010100E819BB071F23F542A5DF0E9C9037AD04</vt:lpwstr>
  </property>
</Properties>
</file>