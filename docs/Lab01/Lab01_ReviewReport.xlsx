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0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26_1\UBB\VVSS\Laboratoare\GitLab\docs\Lab01\"/>
    </mc:Choice>
  </mc:AlternateContent>
  <xr:revisionPtr revIDLastSave="0" documentId="8_{FFD5134B-571D-4108-8C74-AD98F91100CB}" xr6:coauthVersionLast="47" xr6:coauthVersionMax="47" xr10:uidLastSave="{00000000-0000-0000-0000-000000000000}"/>
  <bookViews>
    <workbookView xWindow="0" yWindow="660" windowWidth="32183" windowHeight="19523" tabRatio="650" firstSheet="3" activeTab="1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<sst xmlns="http://schemas.openxmlformats.org/spreadsheetml/2006/main" count="196" uniqueCount="131">
  <si>
    <t>do not print this form</t>
  </si>
  <si>
    <t>Echipa</t>
  </si>
  <si>
    <t>Review Form. Requirements Defects</t>
  </si>
  <si>
    <t>Numele si prenumele</t>
  </si>
  <si>
    <t>Grupa</t>
  </si>
  <si>
    <t>Student 1:</t>
  </si>
  <si>
    <t>George Dan-Cristian</t>
  </si>
  <si>
    <t>Document  Title:</t>
  </si>
  <si>
    <t>Requirements Document</t>
  </si>
  <si>
    <t>Student 2:</t>
  </si>
  <si>
    <t>Grava Bianca-Adelina</t>
  </si>
  <si>
    <t>Author Name:</t>
  </si>
  <si>
    <t>Firicescu George</t>
  </si>
  <si>
    <t>Student 3:</t>
  </si>
  <si>
    <t>Goia Darius-Ioan</t>
  </si>
  <si>
    <t>Reviewer Name:</t>
  </si>
  <si>
    <t>George Dan-Cristian, Grava Bianca-Adelina, Goia Darius-Ioan</t>
  </si>
  <si>
    <t xml:space="preserve">Review date: </t>
  </si>
  <si>
    <t>Crt. No.</t>
  </si>
  <si>
    <t>Checked Item</t>
  </si>
  <si>
    <t>Doc. page/line</t>
  </si>
  <si>
    <t>Comments/ improvements</t>
  </si>
  <si>
    <t>R02</t>
  </si>
  <si>
    <t>Cerinte functionale/5</t>
  </si>
  <si>
    <t>Nu se specifică operații CRUD pentru stocurile de ingrediente (Nu există definită o metodă de a adăuga/șterge stoc, doar de a afișa stocul existent) - Trebuie adăugate aceste cerințe funcționale</t>
  </si>
  <si>
    <t>R01</t>
  </si>
  <si>
    <t>Cerinte functionale/1</t>
  </si>
  <si>
    <t>Nu se specifică atributele entității produs - Ar trebui menționate atributele fiecărei entități</t>
  </si>
  <si>
    <t>Cerinte functionale/3</t>
  </si>
  <si>
    <t>Nu se specifică atributele entităților tip și categorie + diferența conceptuală dintre ele - Ar trebui menționate atributele fiecărei entități</t>
  </si>
  <si>
    <t>Cerinte functionale/7</t>
  </si>
  <si>
    <t>Nu este clar ce înseamnă conținutul comenzii, trebuie specificat la ce se referă</t>
  </si>
  <si>
    <t>R05</t>
  </si>
  <si>
    <t>În cazul actualizării stocului în urma comenzilor: Nu se specifică dacă se verifică stocul înainte și ce se întâmplă dacă nu există suficiente ingrediente pe stoc</t>
  </si>
  <si>
    <t>R04</t>
  </si>
  <si>
    <t>Pagina 1</t>
  </si>
  <si>
    <t>Documentul nu precizează cum se creează primele produse, cum se inițializează sistemul</t>
  </si>
  <si>
    <t>R03</t>
  </si>
  <si>
    <t>Cerința "interfață grafică intuitivă" este vagă, nu se poate testa sau verifica - Trebuie specificat ceva cuantificabil</t>
  </si>
  <si>
    <t>Effort to review document (hours):</t>
  </si>
  <si>
    <t>0.5</t>
  </si>
  <si>
    <t>Review Form. Architectural Design Defects</t>
  </si>
  <si>
    <t>Architectural Design Document</t>
  </si>
  <si>
    <t xml:space="preserve">Author Name: </t>
  </si>
  <si>
    <t>Georgescu Anca</t>
  </si>
  <si>
    <t>A10</t>
  </si>
  <si>
    <t>Product/Reteta</t>
  </si>
  <si>
    <t>În requirements se precizează că fiecare produs are o rețetă, însă în arhitectură această relație între Product și Reteta nu există</t>
  </si>
  <si>
    <t>A01</t>
  </si>
  <si>
    <t>pachete/overview</t>
  </si>
  <si>
    <t>Organizarea generală este clară (domain, repository, service, ui, reports, export), dar diagrama nu surprinde complet arhitectura: lipsește pachetul receipt, iar ProductTest apare deși nu există în proiect.</t>
  </si>
  <si>
    <t>A02</t>
  </si>
  <si>
    <t>package layering</t>
  </si>
  <si>
    <t>Partiționarea pe pachete este logică, însă diagrama nu evidențiază complet toate zonele arhitecturii. Pachetul receipt nu este integrat explicit, iar validatorii sunt doar parțial integrați în fluxul aplicației.</t>
  </si>
  <si>
    <t>A03</t>
  </si>
  <si>
    <t>Product/Reteta; DrinkShopService</t>
  </si>
  <si>
    <t>Arhitectura nu acoperă complet toate cerințele modelului: în cod Product are atributul reteta, dar relația Product-Reteta lipsește din diagramă; în plus, dependențele DrinkShopService către CsvExporter și ReceiptGenerator nu sunt reprezentate.</t>
  </si>
  <si>
    <t>A04</t>
  </si>
  <si>
    <t>OrderService / Repository</t>
  </si>
  <si>
    <t>Clasele susțin serviciile subsistemului, dar diagrama este incompletă pentru OrderService: în implementare acesta depinde de orderRepo, productRepo și retetaRepo, însă în diagramă apare doar orderRepo.</t>
  </si>
  <si>
    <t>A05</t>
  </si>
  <si>
    <t>Error handling strategy</t>
  </si>
  <si>
    <t>Nu există o strategie coerentă de tratare a erorilor. În proiect se folosesc amestecat ValidationException, IllegalStateException, RuntimeException, Exception generic și chiar printStackTrace() în repository-urile pe fișier.</t>
  </si>
  <si>
    <t>A06</t>
  </si>
  <si>
    <t>Repository / Validator patterns</t>
  </si>
  <si>
    <t>Pattern-ul Repository este aplicat corect, însă pattern-ul Validator este doar parțial folosit. Validatorii există în arhitectură, dar nu sunt integrați consecvent în toate serviciile și operațiile relevante.</t>
  </si>
  <si>
    <t>A07</t>
  </si>
  <si>
    <t>Class names / roles</t>
  </si>
  <si>
    <t>Majoritatea denumirilor sunt potrivite, dar DrinkShopService concentrează prea multe responsabilități, iar DailyReportService are un nume mai general decât funcționalitatea reală implementată (calcul venit și număr comenzi).</t>
  </si>
  <si>
    <t>A08</t>
  </si>
  <si>
    <t>Class responsibilities</t>
  </si>
  <si>
    <t>Responsabilitățile nu sunt capturate complet în diagramă: DrinkShopService nu doar orchestrează servicii, ci și exportă CSV și generează bonuri; Product are și responsabilitatea de a reține o referință la Reteta.</t>
  </si>
  <si>
    <t>A09</t>
  </si>
  <si>
    <t>Association role names</t>
  </si>
  <si>
    <t>Unele roluri sunt descrise corect (items, product, ingrediente), dar diagrama omite roluri importante: productRepo și retetaRepo din OrderService, respectiv relația/rolul reteta din Product.</t>
  </si>
  <si>
    <t>Review Form. Coding Defects</t>
  </si>
  <si>
    <t>Coding Document</t>
  </si>
  <si>
    <t>Popescu Ionel</t>
  </si>
  <si>
    <t>C01</t>
  </si>
  <si>
    <t>ProductService</t>
  </si>
  <si>
    <t>În metodele de adăugare a produselor sau ingredientelor, lipsește validarea valorilor numerice. De exemplu, sistemul permite introducerea unui preț negativ sau a unui volum de 0 ml, ceea ce ar corupe logica financiară și de stoc. În ProductService, înainte de a trimite obiectul către Repository, adăugarea unei validări explicite: if (price &lt;= 0) throw new ValidationException("Prețul trebuie să fie pozitiv"); Aceeași logică se aplică și volumului.</t>
  </si>
  <si>
    <t>C04</t>
  </si>
  <si>
    <t>FileRepository</t>
  </si>
  <si>
    <r>
      <t xml:space="preserve">În clasele de tip </t>
    </r>
    <r>
      <rPr>
        <sz val="10"/>
        <color theme="1"/>
        <rFont val="Arial Unicode MS"/>
      </rPr>
      <t>FileRepository</t>
    </r>
    <r>
      <rPr>
        <sz val="11"/>
        <color theme="1"/>
        <rFont val="Calibri"/>
        <family val="2"/>
        <charset val="238"/>
        <scheme val="minor"/>
      </rPr>
      <t xml:space="preserve"> (ex: </t>
    </r>
    <r>
      <rPr>
        <sz val="10"/>
        <color theme="1"/>
        <rFont val="Arial Unicode MS"/>
      </rPr>
      <t>FileProductRepository</t>
    </r>
    <r>
      <rPr>
        <sz val="11"/>
        <color theme="1"/>
        <rFont val="Calibri"/>
        <family val="2"/>
        <charset val="238"/>
        <scheme val="minor"/>
      </rPr>
      <t xml:space="preserve">), citirea din fișier se face probabil prin </t>
    </r>
    <r>
      <rPr>
        <sz val="10"/>
        <color theme="1"/>
        <rFont val="Arial Unicode MS"/>
      </rPr>
      <t>split(",")</t>
    </r>
    <r>
      <rPr>
        <sz val="11"/>
        <color theme="1"/>
        <rFont val="Calibri"/>
        <family val="2"/>
        <charset val="238"/>
        <scheme val="minor"/>
      </rPr>
      <t xml:space="preserve">. Dacă o linie din fișierul text este goală sau are un format corupt (un câmp lipsește), aplicația va genera un </t>
    </r>
    <r>
      <rPr>
        <sz val="10"/>
        <color theme="1"/>
        <rFont val="Arial Unicode MS"/>
      </rPr>
      <t>ArrayIndexOutOfBoundsException</t>
    </r>
    <r>
      <rPr>
        <sz val="11"/>
        <color theme="1"/>
        <rFont val="Calibri"/>
        <family val="2"/>
        <charset val="238"/>
        <scheme val="minor"/>
      </rPr>
      <t xml:space="preserve"> și se va prăbuși la pornire. Îmbunătațire: verificare a lungimii array-ului rezultat după split.</t>
    </r>
  </si>
  <si>
    <t>OrderService</t>
  </si>
  <si>
    <r>
      <t xml:space="preserve">Logica de verificare a stocului (înainte de comandă) trebuie să fie cumulativă. Dacă o comandă conține două băuturi diferite care folosesc același ingredient (ex: zahăr), sistemul trebuie să verifice dacă stocul total acoperă </t>
    </r>
    <r>
      <rPr>
        <i/>
        <sz val="11"/>
        <color theme="1"/>
        <rFont val="Calibri"/>
        <family val="2"/>
        <charset val="238"/>
        <scheme val="minor"/>
      </rPr>
      <t>suma</t>
    </r>
    <r>
      <rPr>
        <sz val="11"/>
        <color theme="1"/>
        <rFont val="Calibri"/>
        <family val="2"/>
        <charset val="238"/>
        <scheme val="minor"/>
      </rPr>
      <t xml:space="preserve"> cantităților necesare. În OrderService, trebuie creată o metodă care să mapeze toate ingredientele necesare într-un Map&lt;Ingredient, Double&gt; (agregând cantitățile) înainte de a interoga StocService. Altfel, decizia de a procesa comanda va fi eronată dacă stocul e suficient pentru fiecare produs separat, dar nu pentru ambele împreună.</t>
    </r>
  </si>
  <si>
    <t>C07</t>
  </si>
  <si>
    <t>CsvExperoter</t>
  </si>
  <si>
    <r>
      <t xml:space="preserve">La generarea fișierului </t>
    </r>
    <r>
      <rPr>
        <sz val="10"/>
        <color theme="1"/>
        <rFont val="Arial Unicode MS"/>
      </rPr>
      <t>CSV</t>
    </r>
    <r>
      <rPr>
        <sz val="11"/>
        <color theme="1"/>
        <rFont val="Calibri"/>
        <family val="2"/>
        <charset val="238"/>
        <scheme val="minor"/>
      </rPr>
      <t xml:space="preserve"> pentru bonul de casă sau export, caracterele speciale din descrierea produselor (cum ar fi virgula) nu sunt gestionate. Dacă o descriere conține o virgulă, fișierul generat va avea coloanele decalate la deschiderea în Excel. În CsvExporter, toate câmpurile de tip text trebuie încadrate între ghilimele: writer.append("\"" + description + "\"");</t>
    </r>
  </si>
  <si>
    <t>Tool-based Code Analysis</t>
  </si>
  <si>
    <t>Tool used:</t>
  </si>
  <si>
    <t>File, Line</t>
  </si>
  <si>
    <t>Issue</t>
  </si>
  <si>
    <t>Before</t>
  </si>
  <si>
    <t>After/Argument</t>
  </si>
  <si>
    <t>AbstractRepository, Line 20</t>
  </si>
  <si>
    <t>Remove this unnecessary cast to "List" - Redundant casts should not be used</t>
  </si>
  <si>
    <t xml:space="preserve"> return (List&lt;E&gt;)StreamSupport.stream(entities.values().spliterator(), false).toList();</t>
  </si>
  <si>
    <t>return StreamSupport.stream(entities.values().spliterator(), false).toList();</t>
  </si>
  <si>
    <t>AbstractRepository, Line 21/22</t>
  </si>
  <si>
    <t>Sections of code should not be commented out</t>
  </si>
  <si>
    <t>// .collect(Collectors.toList()); // return (List&lt;E&gt;) entities.values();</t>
  </si>
  <si>
    <t>Deleted</t>
  </si>
  <si>
    <t>CsvExporter, Line 21</t>
  </si>
  <si>
    <t>Parentheses should be removed from a single lambda parameter when its type is inferred</t>
  </si>
  <si>
    <t>Product p = products.stream().filter((p1)-&gt;i.getProduct().getId()==p1.getId()).toList().get(0);</t>
  </si>
  <si>
    <t>Product p = products.stream().filter(p1-&gt;i.getProduct().getId()==p1.getId()).toList().get(0);</t>
  </si>
  <si>
    <t>CsvExporter, Line 11</t>
  </si>
  <si>
    <t>Unnecessary imports should be removed</t>
  </si>
  <si>
    <t>import java.util.Date;</t>
  </si>
  <si>
    <t>DailyReportService, Lines 6,7,8</t>
  </si>
  <si>
    <t>import java.util.List;
import java.util.stream.Collectors;
import java.util.stream.StreamSupport;</t>
  </si>
  <si>
    <t>DrinkShopController, Line 26</t>
  </si>
  <si>
    <t>Multiple variables should not be declared on the same line</t>
  </si>
  <si>
    <t>FXML private TextField txtProdName, txtProdPrice;</t>
  </si>
  <si>
    <t>FXML private TextField txtProdName;
FXML private TextField txtProdPrice;</t>
  </si>
  <si>
    <t>DrinkShopController, Line 124</t>
  </si>
  <si>
    <t>"Collection.isEmpty()" should be used to test for emptiness</t>
  </si>
  <si>
    <t>if (service.getAllProducts().stream().filter(p-&gt;p.getId()==r.getId()).toList().size()&gt;0) {</t>
  </si>
  <si>
    <t>if (service.getAllProducts().stream().filter(p-&gt;p.getId()==r.getId()).toList().isEmpty()) {</t>
  </si>
  <si>
    <t>FileOrderRepository, Line 59</t>
  </si>
  <si>
    <t>"String.isEmpty()" should be used to test for emptiness</t>
  </si>
  <si>
    <t>if (sb.length() &gt; 0) {</t>
  </si>
  <si>
    <t>if (sb.isEmpty()) {</t>
  </si>
  <si>
    <t>OrderService, Lines 34,35</t>
  </si>
  <si>
    <t>// return StreamSupport.stream(orderRepo.findAll().spliterator(), false)
//  .collect(Collectors.toList());</t>
  </si>
  <si>
    <t>ProductService, Line 49</t>
  </si>
  <si>
    <t>"Stream.toList()" method should be used instead of "collectors" when unmodifiable list needed</t>
  </si>
  <si>
    <t>.collect(Collectors.toList());</t>
  </si>
  <si>
    <t>.toList();</t>
  </si>
  <si>
    <t>Effort to perform tool-based code analysis (hours):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</si>
</sst>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 Unicode MS"/>
    </font>
    <font>
      <i/>
      <sz val="11"/>
      <color theme="1"/>
      <name val="Calibri"/>
      <family val="2"/>
      <charset val="238"/>
      <scheme val="minor"/>
    </font>
    <font>
      <sz val="11"/>
      <color rgb="FF242424"/>
      <name val="Aptos Narrow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5" fillId="0" borderId="0" xfId="0" applyFont="1"/>
    <xf numFmtId="0" fontId="6" fillId="0" borderId="0" xfId="0" applyFont="1"/>
    <xf numFmtId="0" fontId="2" fillId="0" borderId="0" xfId="0" applyFont="1"/>
    <xf numFmtId="0" fontId="3" fillId="3" borderId="1" xfId="0" applyFont="1" applyFill="1" applyBorder="1"/>
    <xf numFmtId="0" fontId="3" fillId="0" borderId="0" xfId="0" applyFont="1"/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3" fillId="2" borderId="1" xfId="0" applyFont="1" applyFill="1" applyBorder="1"/>
    <xf numFmtId="0" fontId="3" fillId="0" borderId="1" xfId="0" applyFont="1" applyBorder="1" applyAlignment="1">
      <alignment horizontal="center" vertical="center" wrapText="1"/>
    </xf>
    <xf numFmtId="0" fontId="3" fillId="4" borderId="1" xfId="0" applyFont="1" applyFill="1" applyBorder="1"/>
    <xf numFmtId="0" fontId="4" fillId="0" borderId="0" xfId="0" applyFont="1"/>
    <xf numFmtId="0" fontId="1" fillId="0" borderId="0" xfId="0" applyFont="1"/>
    <xf numFmtId="0" fontId="1" fillId="0" borderId="1" xfId="0" applyFont="1" applyBorder="1"/>
    <xf numFmtId="0" fontId="8" fillId="0" borderId="0" xfId="0" applyFont="1" applyAlignment="1">
      <alignment wrapText="1"/>
    </xf>
    <xf numFmtId="0" fontId="0" fillId="0" borderId="0" xfId="0" applyAlignment="1">
      <alignment wrapText="1"/>
    </xf>
    <xf numFmtId="14" fontId="3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0" xfId="0" applyFont="1" applyAlignment="1">
      <alignment horizontal="center"/>
    </xf>
    <xf numFmtId="0" fontId="3" fillId="2" borderId="1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right"/>
    </xf>
    <xf numFmtId="0" fontId="7" fillId="2" borderId="4" xfId="0" applyFont="1" applyFill="1" applyBorder="1" applyAlignment="1">
      <alignment horizontal="right"/>
    </xf>
    <xf numFmtId="0" fontId="3" fillId="3" borderId="1" xfId="0" applyFont="1" applyFill="1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0" fontId="7" fillId="3" borderId="4" xfId="0" applyFont="1" applyFill="1" applyBorder="1" applyAlignment="1">
      <alignment horizontal="right"/>
    </xf>
    <xf numFmtId="0" fontId="3" fillId="4" borderId="1" xfId="0" applyFont="1" applyFill="1" applyBorder="1" applyAlignment="1">
      <alignment horizontal="right"/>
    </xf>
    <xf numFmtId="0" fontId="7" fillId="4" borderId="2" xfId="0" applyFont="1" applyFill="1" applyBorder="1" applyAlignment="1">
      <alignment horizontal="right"/>
    </xf>
    <xf numFmtId="0" fontId="7" fillId="4" borderId="4" xfId="0" applyFont="1" applyFill="1" applyBorder="1" applyAlignment="1">
      <alignment horizontal="right"/>
    </xf>
    <xf numFmtId="0" fontId="3" fillId="0" borderId="5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1" fillId="0" borderId="0" xfId="0" applyFont="1" applyAlignment="1">
      <alignment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zoomScale="70" zoomScaleNormal="70" workbookViewId="0">
      <selection activeCell="E14" sqref="E14"/>
    </sheetView>
  </sheetViews>
  <sheetFormatPr defaultColWidth="8.85546875" defaultRowHeight="14.25"/>
  <cols>
    <col min="1" max="1" width="8.85546875" style="5"/>
    <col min="2" max="2" width="12.28515625" style="5" customWidth="1"/>
    <col min="3" max="4" width="16.28515625" style="5" customWidth="1"/>
    <col min="5" max="5" width="41.42578125" style="5" customWidth="1"/>
    <col min="6" max="8" width="8.85546875" style="5"/>
    <col min="9" max="9" width="21" style="5" customWidth="1"/>
    <col min="10" max="10" width="14.42578125" style="5" customWidth="1"/>
    <col min="11" max="16384" width="8.85546875" style="5"/>
  </cols>
  <sheetData>
    <row r="1" spans="1:10" ht="15.75">
      <c r="A1" s="3"/>
      <c r="B1" s="4" t="s">
        <v>0</v>
      </c>
      <c r="C1" s="16"/>
      <c r="D1" s="16"/>
      <c r="E1" s="16"/>
      <c r="F1" s="16"/>
      <c r="G1" s="16"/>
      <c r="H1" s="35" t="s">
        <v>1</v>
      </c>
      <c r="I1" s="35"/>
      <c r="J1" s="35"/>
    </row>
    <row r="2" spans="1:10">
      <c r="A2" s="16"/>
      <c r="B2" s="22" t="s">
        <v>2</v>
      </c>
      <c r="C2" s="22"/>
      <c r="D2" s="22"/>
      <c r="E2" s="22"/>
      <c r="F2" s="16"/>
      <c r="G2" s="16"/>
      <c r="H2" s="17"/>
      <c r="I2" s="17" t="s">
        <v>3</v>
      </c>
      <c r="J2" s="17" t="s">
        <v>4</v>
      </c>
    </row>
    <row r="3" spans="1:10">
      <c r="A3" s="16"/>
      <c r="B3" s="16"/>
      <c r="C3" s="16"/>
      <c r="D3" s="16"/>
      <c r="E3" s="16"/>
      <c r="F3" s="16"/>
      <c r="G3" s="16"/>
      <c r="H3" s="17" t="s">
        <v>5</v>
      </c>
      <c r="I3" s="17" t="s">
        <v>6</v>
      </c>
      <c r="J3" s="17">
        <v>233</v>
      </c>
    </row>
    <row r="4" spans="1:10">
      <c r="A4" s="16"/>
      <c r="B4" s="16"/>
      <c r="C4" s="12" t="s">
        <v>7</v>
      </c>
      <c r="D4" s="23" t="s">
        <v>8</v>
      </c>
      <c r="E4" s="23"/>
      <c r="F4" s="16"/>
      <c r="G4" s="16"/>
      <c r="H4" s="17" t="s">
        <v>9</v>
      </c>
      <c r="I4" s="17" t="s">
        <v>10</v>
      </c>
      <c r="J4" s="17">
        <v>233</v>
      </c>
    </row>
    <row r="5" spans="1:10">
      <c r="A5" s="16"/>
      <c r="B5" s="16"/>
      <c r="C5" s="12" t="s">
        <v>11</v>
      </c>
      <c r="D5" s="24" t="s">
        <v>12</v>
      </c>
      <c r="E5" s="25"/>
      <c r="F5" s="16"/>
      <c r="G5" s="16"/>
      <c r="H5" s="17" t="s">
        <v>13</v>
      </c>
      <c r="I5" s="17" t="s">
        <v>14</v>
      </c>
      <c r="J5" s="17">
        <v>233</v>
      </c>
    </row>
    <row r="6" spans="1:10">
      <c r="A6" s="16"/>
      <c r="B6" s="7"/>
      <c r="C6" s="8" t="s">
        <v>15</v>
      </c>
      <c r="D6" s="21" t="s">
        <v>16</v>
      </c>
      <c r="E6" s="21"/>
      <c r="F6" s="16"/>
      <c r="G6" s="16"/>
      <c r="H6" s="16"/>
      <c r="I6" s="16"/>
      <c r="J6" s="16"/>
    </row>
    <row r="7" spans="1:10">
      <c r="A7" s="16"/>
      <c r="B7" s="16"/>
      <c r="C7" s="8" t="s">
        <v>17</v>
      </c>
      <c r="D7" s="20">
        <v>46089</v>
      </c>
      <c r="E7" s="21"/>
      <c r="F7" s="16"/>
      <c r="G7" s="16"/>
      <c r="H7" s="16"/>
      <c r="I7" s="16"/>
      <c r="J7" s="16"/>
    </row>
    <row r="9" spans="1:10">
      <c r="A9" s="16"/>
      <c r="B9" s="9" t="s">
        <v>18</v>
      </c>
      <c r="C9" s="9" t="s">
        <v>19</v>
      </c>
      <c r="D9" s="9" t="s">
        <v>20</v>
      </c>
      <c r="E9" s="13" t="s">
        <v>21</v>
      </c>
      <c r="F9" s="16"/>
      <c r="G9" s="16"/>
      <c r="H9" s="16"/>
      <c r="I9" s="16"/>
      <c r="J9" s="16"/>
    </row>
    <row r="10" spans="1:10" ht="71.25">
      <c r="A10" s="16"/>
      <c r="B10" s="17">
        <v>1</v>
      </c>
      <c r="C10" s="1" t="s">
        <v>22</v>
      </c>
      <c r="D10" s="1" t="s">
        <v>23</v>
      </c>
      <c r="E10" s="2" t="s">
        <v>24</v>
      </c>
      <c r="F10" s="16"/>
      <c r="G10" s="16"/>
      <c r="H10" s="16"/>
      <c r="I10" s="16"/>
      <c r="J10" s="16"/>
    </row>
    <row r="11" spans="1:10" ht="28.5">
      <c r="A11" s="16"/>
      <c r="B11" s="17">
        <f>B10+1</f>
        <v>2</v>
      </c>
      <c r="C11" s="1" t="s">
        <v>25</v>
      </c>
      <c r="D11" s="1" t="s">
        <v>26</v>
      </c>
      <c r="E11" s="2" t="s">
        <v>27</v>
      </c>
      <c r="F11" s="16"/>
      <c r="G11" s="16"/>
      <c r="H11" s="16"/>
      <c r="I11" s="16"/>
      <c r="J11" s="16"/>
    </row>
    <row r="12" spans="1:10" ht="42.75">
      <c r="A12" s="16"/>
      <c r="B12" s="17">
        <f t="shared" ref="B12:B25" si="0">B11+1</f>
        <v>3</v>
      </c>
      <c r="C12" s="1" t="s">
        <v>25</v>
      </c>
      <c r="D12" s="1" t="s">
        <v>28</v>
      </c>
      <c r="E12" s="2" t="s">
        <v>29</v>
      </c>
      <c r="F12" s="16"/>
      <c r="G12" s="16"/>
      <c r="H12" s="16"/>
      <c r="I12" s="16"/>
      <c r="J12" s="16"/>
    </row>
    <row r="13" spans="1:10" ht="28.5">
      <c r="A13" s="16"/>
      <c r="B13" s="17">
        <f t="shared" si="0"/>
        <v>4</v>
      </c>
      <c r="C13" s="1" t="s">
        <v>25</v>
      </c>
      <c r="D13" s="1" t="s">
        <v>30</v>
      </c>
      <c r="E13" s="2" t="s">
        <v>31</v>
      </c>
      <c r="F13" s="16"/>
      <c r="G13" s="16"/>
      <c r="H13" s="16"/>
      <c r="I13" s="16"/>
      <c r="J13" s="16"/>
    </row>
    <row r="14" spans="1:10" ht="47.1" customHeight="1">
      <c r="A14" s="16"/>
      <c r="B14" s="17">
        <f t="shared" si="0"/>
        <v>5</v>
      </c>
      <c r="C14" s="1" t="s">
        <v>32</v>
      </c>
      <c r="D14" s="1" t="s">
        <v>23</v>
      </c>
      <c r="E14" s="2" t="s">
        <v>33</v>
      </c>
      <c r="F14" s="16"/>
      <c r="G14" s="16"/>
      <c r="H14" s="16"/>
      <c r="I14" s="16"/>
      <c r="J14" s="16"/>
    </row>
    <row r="15" spans="1:10" ht="28.5">
      <c r="A15" s="16"/>
      <c r="B15" s="17">
        <f t="shared" si="0"/>
        <v>6</v>
      </c>
      <c r="C15" s="1" t="s">
        <v>34</v>
      </c>
      <c r="D15" s="1" t="s">
        <v>35</v>
      </c>
      <c r="E15" s="2" t="s">
        <v>36</v>
      </c>
      <c r="F15" s="16"/>
      <c r="G15" s="16"/>
      <c r="H15" s="16"/>
      <c r="I15" s="16"/>
      <c r="J15" s="16"/>
    </row>
    <row r="16" spans="1:10" ht="42.75">
      <c r="A16" s="16"/>
      <c r="B16" s="17">
        <f t="shared" si="0"/>
        <v>7</v>
      </c>
      <c r="C16" s="1" t="s">
        <v>37</v>
      </c>
      <c r="D16" s="1" t="s">
        <v>35</v>
      </c>
      <c r="E16" s="2" t="s">
        <v>38</v>
      </c>
      <c r="F16" s="16"/>
      <c r="G16" s="16"/>
      <c r="H16" s="16"/>
      <c r="I16" s="16"/>
      <c r="J16" s="16"/>
    </row>
    <row r="17" spans="2:5">
      <c r="B17" s="17">
        <f t="shared" si="0"/>
        <v>8</v>
      </c>
      <c r="C17" s="1"/>
      <c r="D17" s="1"/>
      <c r="E17" s="2"/>
    </row>
    <row r="18" spans="2:5">
      <c r="B18" s="17">
        <f t="shared" si="0"/>
        <v>9</v>
      </c>
      <c r="C18" s="17"/>
      <c r="D18" s="17"/>
      <c r="E18" s="36"/>
    </row>
    <row r="19" spans="2:5">
      <c r="B19" s="17">
        <f t="shared" si="0"/>
        <v>10</v>
      </c>
      <c r="C19" s="17"/>
      <c r="D19" s="17"/>
      <c r="E19" s="36"/>
    </row>
    <row r="20" spans="2:5">
      <c r="B20" s="17">
        <f t="shared" si="0"/>
        <v>11</v>
      </c>
      <c r="C20" s="17"/>
      <c r="D20" s="17"/>
      <c r="E20" s="36"/>
    </row>
    <row r="21" spans="2:5">
      <c r="B21" s="17">
        <f t="shared" si="0"/>
        <v>12</v>
      </c>
      <c r="C21" s="17"/>
      <c r="D21" s="17"/>
      <c r="E21" s="36"/>
    </row>
    <row r="22" spans="2:5">
      <c r="B22" s="17">
        <f t="shared" si="0"/>
        <v>13</v>
      </c>
      <c r="C22" s="17"/>
      <c r="D22" s="17"/>
      <c r="E22" s="36"/>
    </row>
    <row r="23" spans="2:5">
      <c r="B23" s="17">
        <f t="shared" si="0"/>
        <v>14</v>
      </c>
      <c r="C23" s="17"/>
      <c r="D23" s="17"/>
      <c r="E23" s="36"/>
    </row>
    <row r="24" spans="2:5">
      <c r="B24" s="17">
        <f t="shared" si="0"/>
        <v>15</v>
      </c>
      <c r="C24" s="17"/>
      <c r="D24" s="17"/>
      <c r="E24" s="36"/>
    </row>
    <row r="25" spans="2:5">
      <c r="B25" s="17">
        <f t="shared" si="0"/>
        <v>16</v>
      </c>
      <c r="C25" s="17"/>
      <c r="D25" s="17"/>
      <c r="E25" s="36"/>
    </row>
    <row r="27" spans="2:5">
      <c r="B27" s="16"/>
      <c r="C27" s="10" t="s">
        <v>39</v>
      </c>
      <c r="D27" s="11"/>
      <c r="E27" s="1" t="s">
        <v>40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tabSelected="1" zoomScale="136" workbookViewId="0">
      <selection activeCell="E28" sqref="E28"/>
    </sheetView>
  </sheetViews>
  <sheetFormatPr defaultColWidth="8.85546875" defaultRowHeight="14.25"/>
  <cols>
    <col min="1" max="1" width="8.85546875" style="5"/>
    <col min="2" max="2" width="12.28515625" style="5" customWidth="1"/>
    <col min="3" max="4" width="16.28515625" style="5" customWidth="1"/>
    <col min="5" max="5" width="41.42578125" style="5" customWidth="1"/>
    <col min="6" max="8" width="8.85546875" style="5"/>
    <col min="9" max="9" width="22.140625" style="5" customWidth="1"/>
    <col min="10" max="16384" width="8.85546875" style="5"/>
  </cols>
  <sheetData>
    <row r="1" spans="1:10" ht="15.75">
      <c r="A1" s="3"/>
      <c r="B1" s="4" t="s">
        <v>0</v>
      </c>
      <c r="C1" s="16"/>
      <c r="D1" s="16"/>
      <c r="E1" s="16"/>
      <c r="F1" s="16"/>
      <c r="G1" s="16"/>
      <c r="H1" s="35" t="s">
        <v>1</v>
      </c>
      <c r="I1" s="35"/>
      <c r="J1" s="35"/>
    </row>
    <row r="2" spans="1:10">
      <c r="A2" s="16"/>
      <c r="B2" s="22" t="s">
        <v>41</v>
      </c>
      <c r="C2" s="22"/>
      <c r="D2" s="22"/>
      <c r="E2" s="22"/>
      <c r="F2" s="16"/>
      <c r="G2" s="16"/>
      <c r="H2" s="17"/>
      <c r="I2" s="17" t="s">
        <v>3</v>
      </c>
      <c r="J2" s="17" t="s">
        <v>4</v>
      </c>
    </row>
    <row r="3" spans="1:10">
      <c r="A3" s="16"/>
      <c r="B3" s="16"/>
      <c r="C3" s="16"/>
      <c r="D3" s="16"/>
      <c r="E3" s="16"/>
      <c r="F3" s="16"/>
      <c r="G3" s="16"/>
      <c r="H3" s="17" t="s">
        <v>5</v>
      </c>
      <c r="I3" s="17" t="s">
        <v>6</v>
      </c>
      <c r="J3" s="17">
        <v>233</v>
      </c>
    </row>
    <row r="4" spans="1:10">
      <c r="A4" s="16"/>
      <c r="B4" s="16"/>
      <c r="C4" s="6" t="s">
        <v>7</v>
      </c>
      <c r="D4" s="26" t="s">
        <v>42</v>
      </c>
      <c r="E4" s="26"/>
      <c r="F4" s="16"/>
      <c r="G4" s="16"/>
      <c r="H4" s="17" t="s">
        <v>9</v>
      </c>
      <c r="I4" s="17" t="s">
        <v>10</v>
      </c>
      <c r="J4" s="17">
        <v>233</v>
      </c>
    </row>
    <row r="5" spans="1:10">
      <c r="A5" s="16"/>
      <c r="B5" s="16"/>
      <c r="C5" s="6" t="s">
        <v>43</v>
      </c>
      <c r="D5" s="27" t="s">
        <v>44</v>
      </c>
      <c r="E5" s="28"/>
      <c r="F5" s="16"/>
      <c r="G5" s="16"/>
      <c r="H5" s="17" t="s">
        <v>13</v>
      </c>
      <c r="I5" s="17" t="s">
        <v>14</v>
      </c>
      <c r="J5" s="17">
        <v>233</v>
      </c>
    </row>
    <row r="6" spans="1:10">
      <c r="A6" s="16"/>
      <c r="B6" s="7"/>
      <c r="C6" s="8" t="s">
        <v>15</v>
      </c>
      <c r="D6" s="21" t="s">
        <v>16</v>
      </c>
      <c r="E6" s="21"/>
      <c r="F6" s="16"/>
      <c r="G6" s="16"/>
      <c r="H6" s="16"/>
      <c r="I6" s="16"/>
      <c r="J6" s="16"/>
    </row>
    <row r="7" spans="1:10">
      <c r="A7" s="16"/>
      <c r="B7" s="16"/>
      <c r="C7" s="8" t="s">
        <v>17</v>
      </c>
      <c r="D7" s="20">
        <v>46089</v>
      </c>
      <c r="E7" s="21"/>
      <c r="F7" s="16"/>
      <c r="G7" s="16"/>
      <c r="H7" s="16"/>
      <c r="I7" s="16"/>
      <c r="J7" s="16"/>
    </row>
    <row r="9" spans="1:10">
      <c r="A9" s="16"/>
      <c r="B9" s="9" t="s">
        <v>18</v>
      </c>
      <c r="C9" s="9" t="s">
        <v>19</v>
      </c>
      <c r="D9" s="9" t="s">
        <v>20</v>
      </c>
      <c r="E9" s="9" t="s">
        <v>21</v>
      </c>
      <c r="F9" s="16"/>
      <c r="G9" s="16"/>
      <c r="H9" s="16"/>
      <c r="I9" s="16"/>
      <c r="J9" s="16"/>
    </row>
    <row r="10" spans="1:10" ht="42.75">
      <c r="A10" s="16"/>
      <c r="B10" s="17">
        <v>1</v>
      </c>
      <c r="C10" s="1" t="s">
        <v>45</v>
      </c>
      <c r="D10" s="2" t="s">
        <v>46</v>
      </c>
      <c r="E10" s="2" t="s">
        <v>47</v>
      </c>
      <c r="F10" s="16"/>
      <c r="G10" s="16"/>
      <c r="H10" s="16"/>
      <c r="I10" s="16"/>
      <c r="J10" s="16"/>
    </row>
    <row r="11" spans="1:10" ht="76.5">
      <c r="A11" s="16"/>
      <c r="B11" s="17">
        <f>B10+1</f>
        <v>2</v>
      </c>
      <c r="C11" s="1" t="s">
        <v>48</v>
      </c>
      <c r="D11" s="2" t="s">
        <v>49</v>
      </c>
      <c r="E11" s="2" t="s">
        <v>50</v>
      </c>
      <c r="F11" s="16"/>
      <c r="G11" s="16"/>
      <c r="H11" s="16"/>
      <c r="I11" s="16"/>
      <c r="J11" s="16"/>
    </row>
    <row r="12" spans="1:10" ht="76.5">
      <c r="A12" s="16"/>
      <c r="B12" s="17">
        <f t="shared" ref="B12:B26" si="0">B11+1</f>
        <v>3</v>
      </c>
      <c r="C12" s="1" t="s">
        <v>51</v>
      </c>
      <c r="D12" s="2" t="s">
        <v>52</v>
      </c>
      <c r="E12" s="2" t="s">
        <v>53</v>
      </c>
      <c r="F12" s="16"/>
      <c r="G12" s="16"/>
      <c r="H12" s="16"/>
      <c r="I12" s="16"/>
      <c r="J12" s="16"/>
    </row>
    <row r="13" spans="1:10" ht="87">
      <c r="A13" s="16"/>
      <c r="B13" s="17">
        <f t="shared" si="0"/>
        <v>4</v>
      </c>
      <c r="C13" s="1" t="s">
        <v>54</v>
      </c>
      <c r="D13" s="34" t="s">
        <v>55</v>
      </c>
      <c r="E13" s="34" t="s">
        <v>56</v>
      </c>
      <c r="F13" s="16"/>
      <c r="G13" s="16"/>
      <c r="H13" s="16"/>
      <c r="I13" s="16"/>
      <c r="J13" s="16"/>
    </row>
    <row r="14" spans="1:10" ht="72.75">
      <c r="A14" s="16"/>
      <c r="B14" s="17">
        <f t="shared" si="0"/>
        <v>5</v>
      </c>
      <c r="C14" s="1" t="s">
        <v>57</v>
      </c>
      <c r="D14" s="34" t="s">
        <v>58</v>
      </c>
      <c r="E14" s="34" t="s">
        <v>59</v>
      </c>
      <c r="F14" s="16"/>
      <c r="G14" s="16"/>
      <c r="H14" s="16"/>
      <c r="I14" s="16"/>
      <c r="J14" s="16"/>
    </row>
    <row r="15" spans="1:10" ht="72.75">
      <c r="A15" s="16"/>
      <c r="B15" s="17">
        <f t="shared" si="0"/>
        <v>6</v>
      </c>
      <c r="C15" s="1" t="s">
        <v>60</v>
      </c>
      <c r="D15" s="34" t="s">
        <v>61</v>
      </c>
      <c r="E15" s="34" t="s">
        <v>62</v>
      </c>
      <c r="F15" s="16"/>
      <c r="G15" s="16"/>
      <c r="H15" s="16"/>
      <c r="I15" s="16"/>
      <c r="J15" s="16"/>
    </row>
    <row r="16" spans="1:10" ht="72.75">
      <c r="A16" s="16"/>
      <c r="B16" s="17">
        <f t="shared" si="0"/>
        <v>7</v>
      </c>
      <c r="C16" s="1" t="s">
        <v>63</v>
      </c>
      <c r="D16" s="34" t="s">
        <v>64</v>
      </c>
      <c r="E16" s="34" t="s">
        <v>65</v>
      </c>
      <c r="F16" s="16"/>
      <c r="G16" s="16"/>
      <c r="H16" s="16"/>
      <c r="I16" s="16"/>
      <c r="J16" s="16"/>
    </row>
    <row r="17" spans="2:5" ht="72.75">
      <c r="B17" s="17">
        <f t="shared" si="0"/>
        <v>8</v>
      </c>
      <c r="C17" s="1" t="s">
        <v>66</v>
      </c>
      <c r="D17" s="34" t="s">
        <v>67</v>
      </c>
      <c r="E17" s="34" t="s">
        <v>68</v>
      </c>
    </row>
    <row r="18" spans="2:5" ht="87">
      <c r="B18" s="17">
        <f t="shared" si="0"/>
        <v>9</v>
      </c>
      <c r="C18" s="1" t="s">
        <v>69</v>
      </c>
      <c r="D18" s="34" t="s">
        <v>70</v>
      </c>
      <c r="E18" s="34" t="s">
        <v>71</v>
      </c>
    </row>
    <row r="19" spans="2:5" ht="72.75">
      <c r="B19" s="17">
        <f t="shared" si="0"/>
        <v>10</v>
      </c>
      <c r="C19" s="1" t="s">
        <v>72</v>
      </c>
      <c r="D19" s="34" t="s">
        <v>73</v>
      </c>
      <c r="E19" s="34" t="s">
        <v>74</v>
      </c>
    </row>
    <row r="20" spans="2:5">
      <c r="B20" s="17">
        <f t="shared" si="0"/>
        <v>11</v>
      </c>
      <c r="C20" s="1"/>
      <c r="D20" s="1"/>
      <c r="E20" s="2"/>
    </row>
    <row r="21" spans="2:5">
      <c r="B21" s="17">
        <f t="shared" si="0"/>
        <v>12</v>
      </c>
      <c r="C21" s="1"/>
      <c r="D21" s="1"/>
      <c r="E21" s="2"/>
    </row>
    <row r="22" spans="2:5">
      <c r="B22" s="17">
        <f t="shared" si="0"/>
        <v>13</v>
      </c>
      <c r="C22" s="1"/>
      <c r="D22" s="1"/>
      <c r="E22" s="2"/>
    </row>
    <row r="23" spans="2:5">
      <c r="B23" s="17">
        <f t="shared" si="0"/>
        <v>14</v>
      </c>
      <c r="C23" s="1"/>
      <c r="D23" s="1"/>
      <c r="E23" s="2"/>
    </row>
    <row r="24" spans="2:5">
      <c r="B24" s="17">
        <f t="shared" si="0"/>
        <v>15</v>
      </c>
      <c r="C24" s="1"/>
      <c r="D24" s="1"/>
      <c r="E24" s="2"/>
    </row>
    <row r="25" spans="2:5">
      <c r="B25" s="17">
        <f t="shared" si="0"/>
        <v>16</v>
      </c>
      <c r="C25" s="1"/>
      <c r="D25" s="1"/>
      <c r="E25" s="2"/>
    </row>
    <row r="26" spans="2:5">
      <c r="B26" s="17">
        <f t="shared" si="0"/>
        <v>17</v>
      </c>
      <c r="C26" s="1"/>
      <c r="D26" s="1"/>
      <c r="E26" s="2"/>
    </row>
    <row r="28" spans="2:5">
      <c r="B28" s="16"/>
      <c r="C28" s="10" t="s">
        <v>39</v>
      </c>
      <c r="D28" s="11"/>
      <c r="E28" s="1">
        <v>1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topLeftCell="A10" zoomScale="60" zoomScaleNormal="60" workbookViewId="0">
      <selection activeCell="E32" sqref="E32"/>
    </sheetView>
  </sheetViews>
  <sheetFormatPr defaultColWidth="8.85546875" defaultRowHeight="14.25"/>
  <cols>
    <col min="1" max="1" width="8.85546875" style="5"/>
    <col min="2" max="2" width="12.28515625" style="5" customWidth="1"/>
    <col min="3" max="3" width="16.28515625" style="5" customWidth="1"/>
    <col min="4" max="4" width="18" style="5" customWidth="1"/>
    <col min="5" max="5" width="41.42578125" style="5" customWidth="1"/>
    <col min="6" max="8" width="8.85546875" style="5"/>
    <col min="9" max="9" width="26.7109375" style="5" customWidth="1"/>
    <col min="10" max="16384" width="8.85546875" style="5"/>
  </cols>
  <sheetData>
    <row r="1" spans="1:10" ht="15.75">
      <c r="A1" s="3"/>
      <c r="B1" s="4" t="s">
        <v>0</v>
      </c>
      <c r="C1" s="16"/>
      <c r="D1" s="16"/>
      <c r="E1" s="16"/>
      <c r="F1" s="16"/>
      <c r="G1" s="16"/>
      <c r="H1" s="35" t="s">
        <v>1</v>
      </c>
      <c r="I1" s="35"/>
      <c r="J1" s="35"/>
    </row>
    <row r="2" spans="1:10">
      <c r="A2" s="16"/>
      <c r="B2" s="22" t="s">
        <v>75</v>
      </c>
      <c r="C2" s="22"/>
      <c r="D2" s="22"/>
      <c r="E2" s="22"/>
      <c r="F2" s="16"/>
      <c r="G2" s="16"/>
      <c r="H2" s="17"/>
      <c r="I2" s="17" t="s">
        <v>3</v>
      </c>
      <c r="J2" s="17" t="s">
        <v>4</v>
      </c>
    </row>
    <row r="3" spans="1:10">
      <c r="A3" s="16"/>
      <c r="B3" s="16"/>
      <c r="C3" s="16"/>
      <c r="D3" s="16"/>
      <c r="E3" s="16"/>
      <c r="F3" s="16"/>
      <c r="G3" s="16"/>
      <c r="H3" s="17" t="s">
        <v>5</v>
      </c>
      <c r="I3" s="17" t="s">
        <v>6</v>
      </c>
      <c r="J3" s="17">
        <v>233</v>
      </c>
    </row>
    <row r="4" spans="1:10">
      <c r="A4" s="16"/>
      <c r="B4" s="16"/>
      <c r="C4" s="14" t="s">
        <v>7</v>
      </c>
      <c r="D4" s="29" t="s">
        <v>76</v>
      </c>
      <c r="E4" s="29"/>
      <c r="F4" s="16"/>
      <c r="G4" s="16"/>
      <c r="H4" s="17" t="s">
        <v>9</v>
      </c>
      <c r="I4" s="17" t="s">
        <v>10</v>
      </c>
      <c r="J4" s="17">
        <v>233</v>
      </c>
    </row>
    <row r="5" spans="1:10">
      <c r="A5" s="16"/>
      <c r="B5" s="16"/>
      <c r="C5" s="14" t="s">
        <v>11</v>
      </c>
      <c r="D5" s="30" t="s">
        <v>77</v>
      </c>
      <c r="E5" s="31"/>
      <c r="F5" s="16"/>
      <c r="G5" s="16"/>
      <c r="H5" s="17" t="s">
        <v>13</v>
      </c>
      <c r="I5" s="17" t="s">
        <v>14</v>
      </c>
      <c r="J5" s="17">
        <v>233</v>
      </c>
    </row>
    <row r="6" spans="1:10">
      <c r="A6" s="16"/>
      <c r="B6" s="7"/>
      <c r="C6" s="8" t="s">
        <v>15</v>
      </c>
      <c r="D6" s="21" t="s">
        <v>16</v>
      </c>
      <c r="E6" s="21"/>
      <c r="F6" s="16"/>
      <c r="G6" s="16"/>
      <c r="H6" s="16"/>
      <c r="I6" s="16"/>
      <c r="J6" s="16"/>
    </row>
    <row r="7" spans="1:10">
      <c r="A7" s="16"/>
      <c r="B7" s="16"/>
      <c r="C7" s="8" t="s">
        <v>17</v>
      </c>
      <c r="D7" s="20">
        <v>46089</v>
      </c>
      <c r="E7" s="21"/>
      <c r="F7" s="16"/>
      <c r="G7" s="16"/>
      <c r="H7" s="16"/>
      <c r="I7" s="16"/>
      <c r="J7" s="16"/>
    </row>
    <row r="9" spans="1:10">
      <c r="A9" s="16"/>
      <c r="B9" s="9" t="s">
        <v>18</v>
      </c>
      <c r="C9" s="9" t="s">
        <v>19</v>
      </c>
      <c r="D9" s="9" t="s">
        <v>20</v>
      </c>
      <c r="E9" s="9" t="s">
        <v>21</v>
      </c>
      <c r="F9" s="16"/>
      <c r="G9" s="16"/>
      <c r="H9" s="16"/>
      <c r="I9" s="16"/>
      <c r="J9" s="16"/>
    </row>
    <row r="10" spans="1:10" ht="149.25">
      <c r="A10" s="16"/>
      <c r="B10" s="17">
        <v>1</v>
      </c>
      <c r="C10" s="1" t="s">
        <v>78</v>
      </c>
      <c r="D10" s="2" t="s">
        <v>79</v>
      </c>
      <c r="E10" s="18" t="s">
        <v>80</v>
      </c>
      <c r="F10" s="16"/>
      <c r="G10" s="16"/>
      <c r="H10" s="16"/>
      <c r="I10" s="16"/>
      <c r="J10" s="16"/>
    </row>
    <row r="11" spans="1:10" ht="114">
      <c r="A11" s="16"/>
      <c r="B11" s="17">
        <f>B10+1</f>
        <v>2</v>
      </c>
      <c r="C11" s="1" t="s">
        <v>81</v>
      </c>
      <c r="D11" s="1" t="s">
        <v>82</v>
      </c>
      <c r="E11" s="19" t="s">
        <v>83</v>
      </c>
      <c r="F11" s="16"/>
      <c r="G11" s="16"/>
      <c r="H11" s="16"/>
      <c r="I11" s="16"/>
      <c r="J11" s="16"/>
    </row>
    <row r="12" spans="1:10" ht="185.25">
      <c r="A12" s="16"/>
      <c r="B12" s="17">
        <f t="shared" ref="B12:B30" si="0">B11+1</f>
        <v>3</v>
      </c>
      <c r="C12" s="1" t="s">
        <v>78</v>
      </c>
      <c r="D12" s="1" t="s">
        <v>84</v>
      </c>
      <c r="E12" s="19" t="s">
        <v>85</v>
      </c>
      <c r="F12" s="16"/>
      <c r="G12" s="16"/>
      <c r="H12" s="16"/>
      <c r="I12" s="16"/>
      <c r="J12" s="16"/>
    </row>
    <row r="13" spans="1:10" ht="114">
      <c r="A13" s="16"/>
      <c r="B13" s="17">
        <f t="shared" si="0"/>
        <v>4</v>
      </c>
      <c r="C13" s="1" t="s">
        <v>86</v>
      </c>
      <c r="D13" s="2" t="s">
        <v>87</v>
      </c>
      <c r="E13" s="19" t="s">
        <v>88</v>
      </c>
      <c r="F13" s="16"/>
      <c r="G13" s="16"/>
      <c r="H13" s="16"/>
      <c r="I13" s="16"/>
      <c r="J13" s="16"/>
    </row>
    <row r="14" spans="1:10">
      <c r="A14" s="16"/>
      <c r="B14" s="17">
        <f t="shared" si="0"/>
        <v>5</v>
      </c>
      <c r="C14" s="1"/>
      <c r="D14" s="2"/>
      <c r="E14" s="2"/>
      <c r="F14" s="16"/>
      <c r="G14" s="16"/>
      <c r="H14" s="16"/>
      <c r="I14" s="16"/>
      <c r="J14" s="16"/>
    </row>
    <row r="15" spans="1:10">
      <c r="A15" s="16"/>
      <c r="B15" s="17">
        <f t="shared" si="0"/>
        <v>6</v>
      </c>
      <c r="C15" s="1"/>
      <c r="D15" s="2"/>
      <c r="E15" s="2"/>
      <c r="F15" s="16"/>
      <c r="G15" s="16"/>
      <c r="H15" s="16"/>
      <c r="I15" s="16"/>
      <c r="J15" s="16"/>
    </row>
    <row r="16" spans="1:10">
      <c r="A16" s="16"/>
      <c r="B16" s="17">
        <f t="shared" si="0"/>
        <v>7</v>
      </c>
      <c r="C16" s="1"/>
      <c r="D16" s="2"/>
      <c r="E16" s="2"/>
      <c r="F16" s="16"/>
      <c r="G16" s="16"/>
      <c r="H16" s="16"/>
      <c r="I16" s="16"/>
      <c r="J16" s="16"/>
    </row>
    <row r="17" spans="2:5">
      <c r="B17" s="17">
        <f t="shared" si="0"/>
        <v>8</v>
      </c>
      <c r="C17" s="1"/>
      <c r="D17" s="2"/>
      <c r="E17" s="2"/>
    </row>
    <row r="18" spans="2:5">
      <c r="B18" s="17">
        <f t="shared" si="0"/>
        <v>9</v>
      </c>
      <c r="C18" s="1"/>
      <c r="D18" s="2"/>
      <c r="E18" s="2"/>
    </row>
    <row r="19" spans="2:5">
      <c r="B19" s="17">
        <f t="shared" si="0"/>
        <v>10</v>
      </c>
      <c r="C19" s="1"/>
      <c r="D19" s="1"/>
      <c r="E19" s="2"/>
    </row>
    <row r="20" spans="2:5">
      <c r="B20" s="17">
        <f t="shared" si="0"/>
        <v>11</v>
      </c>
      <c r="C20" s="1"/>
      <c r="D20" s="2"/>
      <c r="E20" s="2"/>
    </row>
    <row r="21" spans="2:5">
      <c r="B21" s="17">
        <f t="shared" si="0"/>
        <v>12</v>
      </c>
      <c r="C21" s="1"/>
      <c r="D21" s="1"/>
      <c r="E21" s="2"/>
    </row>
    <row r="22" spans="2:5">
      <c r="B22" s="17">
        <f t="shared" si="0"/>
        <v>13</v>
      </c>
      <c r="C22" s="1"/>
      <c r="D22" s="2"/>
      <c r="E22" s="2"/>
    </row>
    <row r="23" spans="2:5">
      <c r="B23" s="17">
        <f t="shared" si="0"/>
        <v>14</v>
      </c>
      <c r="C23" s="1"/>
      <c r="D23" s="2"/>
      <c r="E23" s="2"/>
    </row>
    <row r="24" spans="2:5">
      <c r="B24" s="17">
        <f t="shared" si="0"/>
        <v>15</v>
      </c>
      <c r="C24" s="1"/>
      <c r="D24" s="2"/>
      <c r="E24" s="2"/>
    </row>
    <row r="25" spans="2:5">
      <c r="B25" s="17">
        <f t="shared" si="0"/>
        <v>16</v>
      </c>
      <c r="C25" s="1"/>
      <c r="D25" s="2"/>
      <c r="E25" s="2"/>
    </row>
    <row r="26" spans="2:5">
      <c r="B26" s="17">
        <f t="shared" si="0"/>
        <v>17</v>
      </c>
      <c r="C26" s="1"/>
      <c r="D26" s="1"/>
      <c r="E26" s="2"/>
    </row>
    <row r="27" spans="2:5">
      <c r="B27" s="17">
        <f t="shared" si="0"/>
        <v>18</v>
      </c>
      <c r="C27" s="1"/>
      <c r="D27" s="2"/>
      <c r="E27" s="1"/>
    </row>
    <row r="28" spans="2:5">
      <c r="B28" s="17">
        <f t="shared" si="0"/>
        <v>19</v>
      </c>
      <c r="C28" s="1"/>
      <c r="D28" s="2"/>
      <c r="E28" s="2"/>
    </row>
    <row r="29" spans="2:5">
      <c r="B29" s="17">
        <f t="shared" si="0"/>
        <v>20</v>
      </c>
      <c r="C29" s="1"/>
      <c r="D29" s="2"/>
      <c r="E29" s="2"/>
    </row>
    <row r="30" spans="2:5">
      <c r="B30" s="17">
        <f t="shared" si="0"/>
        <v>21</v>
      </c>
      <c r="C30" s="1"/>
      <c r="D30" s="2"/>
      <c r="E30" s="2"/>
    </row>
    <row r="32" spans="2:5">
      <c r="B32" s="16"/>
      <c r="C32" s="10" t="s">
        <v>39</v>
      </c>
      <c r="D32" s="11"/>
      <c r="E32" s="1" t="s">
        <v>40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topLeftCell="A10" workbookViewId="0">
      <selection activeCell="E10" sqref="E10"/>
    </sheetView>
  </sheetViews>
  <sheetFormatPr defaultColWidth="8.85546875" defaultRowHeight="14.25"/>
  <cols>
    <col min="1" max="1" width="8.85546875" style="5"/>
    <col min="2" max="2" width="12.28515625" style="5" customWidth="1"/>
    <col min="3" max="3" width="19.140625" style="5" customWidth="1"/>
    <col min="4" max="4" width="18" style="5" customWidth="1"/>
    <col min="5" max="5" width="23.85546875" style="5" customWidth="1"/>
    <col min="6" max="6" width="16.7109375" style="5" customWidth="1"/>
    <col min="7" max="8" width="8.85546875" style="5"/>
    <col min="9" max="9" width="26.7109375" style="5" customWidth="1"/>
    <col min="10" max="16384" width="8.85546875" style="5"/>
  </cols>
  <sheetData>
    <row r="1" spans="1:10" ht="15.75">
      <c r="A1" s="3"/>
      <c r="B1" s="4" t="s">
        <v>0</v>
      </c>
      <c r="C1" s="16"/>
      <c r="D1" s="16"/>
      <c r="E1" s="16"/>
      <c r="F1" s="16"/>
      <c r="G1" s="16"/>
      <c r="H1" s="35" t="s">
        <v>1</v>
      </c>
      <c r="I1" s="35"/>
      <c r="J1" s="35"/>
    </row>
    <row r="2" spans="1:10">
      <c r="A2" s="16"/>
      <c r="B2" s="22" t="s">
        <v>89</v>
      </c>
      <c r="C2" s="22"/>
      <c r="D2" s="22"/>
      <c r="E2" s="22"/>
      <c r="F2" s="16"/>
      <c r="G2" s="16"/>
      <c r="H2" s="17"/>
      <c r="I2" s="17" t="s">
        <v>3</v>
      </c>
      <c r="J2" s="17" t="s">
        <v>4</v>
      </c>
    </row>
    <row r="3" spans="1:10">
      <c r="A3" s="16"/>
      <c r="B3" s="16"/>
      <c r="C3" s="16"/>
      <c r="D3" s="16"/>
      <c r="E3" s="16"/>
      <c r="F3" s="16"/>
      <c r="G3" s="16"/>
      <c r="H3" s="17" t="s">
        <v>5</v>
      </c>
      <c r="I3" s="17" t="s">
        <v>6</v>
      </c>
      <c r="J3" s="17">
        <v>233</v>
      </c>
    </row>
    <row r="4" spans="1:10">
      <c r="A4" s="16"/>
      <c r="B4" s="16"/>
      <c r="C4" s="14" t="s">
        <v>90</v>
      </c>
      <c r="D4" s="29"/>
      <c r="E4" s="29"/>
      <c r="F4" s="16"/>
      <c r="G4" s="16"/>
      <c r="H4" s="17" t="s">
        <v>9</v>
      </c>
      <c r="I4" s="17" t="s">
        <v>10</v>
      </c>
      <c r="J4" s="17">
        <v>233</v>
      </c>
    </row>
    <row r="5" spans="1:10">
      <c r="A5" s="16"/>
      <c r="B5" s="16"/>
      <c r="C5" s="8" t="s">
        <v>15</v>
      </c>
      <c r="D5" s="21" t="s">
        <v>16</v>
      </c>
      <c r="E5" s="21"/>
      <c r="F5" s="16"/>
      <c r="G5" s="16"/>
      <c r="H5" s="17" t="s">
        <v>13</v>
      </c>
      <c r="I5" s="17" t="s">
        <v>14</v>
      </c>
      <c r="J5" s="17">
        <v>233</v>
      </c>
    </row>
    <row r="6" spans="1:10">
      <c r="A6" s="16"/>
      <c r="B6" s="7"/>
      <c r="C6" s="8" t="s">
        <v>17</v>
      </c>
      <c r="D6" s="20">
        <v>46089</v>
      </c>
      <c r="E6" s="21"/>
      <c r="F6" s="16"/>
      <c r="G6" s="16"/>
      <c r="H6" s="16"/>
      <c r="I6" s="16"/>
      <c r="J6" s="16"/>
    </row>
    <row r="9" spans="1:10">
      <c r="A9" s="16"/>
      <c r="B9" s="9" t="s">
        <v>18</v>
      </c>
      <c r="C9" s="9" t="s">
        <v>91</v>
      </c>
      <c r="D9" s="9" t="s">
        <v>92</v>
      </c>
      <c r="E9" s="9" t="s">
        <v>93</v>
      </c>
      <c r="F9" s="9" t="s">
        <v>94</v>
      </c>
      <c r="G9" s="16"/>
      <c r="H9" s="16"/>
      <c r="I9" s="16"/>
      <c r="J9" s="16"/>
    </row>
    <row r="10" spans="1:10" ht="80.099999999999994" customHeight="1">
      <c r="A10" s="16"/>
      <c r="B10" s="17">
        <v>1</v>
      </c>
      <c r="C10" s="2" t="s">
        <v>95</v>
      </c>
      <c r="D10" s="2" t="s">
        <v>96</v>
      </c>
      <c r="E10" s="2" t="s">
        <v>97</v>
      </c>
      <c r="F10" s="2" t="s">
        <v>98</v>
      </c>
      <c r="G10" s="16"/>
      <c r="H10" s="16"/>
      <c r="I10" s="16"/>
      <c r="J10" s="16"/>
    </row>
    <row r="11" spans="1:10" ht="94.15" customHeight="1">
      <c r="A11" s="16"/>
      <c r="B11" s="17">
        <f>B10+1</f>
        <v>2</v>
      </c>
      <c r="C11" s="2" t="s">
        <v>99</v>
      </c>
      <c r="D11" s="2" t="s">
        <v>100</v>
      </c>
      <c r="E11" s="2" t="s">
        <v>101</v>
      </c>
      <c r="F11" s="2" t="s">
        <v>102</v>
      </c>
      <c r="G11" s="16"/>
      <c r="H11" s="16"/>
      <c r="I11" s="16"/>
      <c r="J11" s="16"/>
    </row>
    <row r="12" spans="1:10" ht="85.5">
      <c r="A12" s="16"/>
      <c r="B12" s="17">
        <f t="shared" ref="B12:B30" si="0">B11+1</f>
        <v>3</v>
      </c>
      <c r="C12" s="1" t="s">
        <v>103</v>
      </c>
      <c r="D12" s="2" t="s">
        <v>104</v>
      </c>
      <c r="E12" s="2" t="s">
        <v>105</v>
      </c>
      <c r="F12" s="2" t="s">
        <v>106</v>
      </c>
      <c r="G12" s="16"/>
      <c r="H12" s="16"/>
      <c r="I12" s="16"/>
      <c r="J12" s="16"/>
    </row>
    <row r="13" spans="1:10" ht="28.5">
      <c r="A13" s="16"/>
      <c r="B13" s="17">
        <f t="shared" si="0"/>
        <v>4</v>
      </c>
      <c r="C13" s="1" t="s">
        <v>107</v>
      </c>
      <c r="D13" s="2" t="s">
        <v>108</v>
      </c>
      <c r="E13" s="2" t="s">
        <v>109</v>
      </c>
      <c r="F13" s="2" t="s">
        <v>102</v>
      </c>
      <c r="G13" s="16"/>
      <c r="H13" s="16"/>
      <c r="I13" s="16"/>
      <c r="J13" s="16"/>
    </row>
    <row r="14" spans="1:10" ht="85.5">
      <c r="A14" s="16"/>
      <c r="B14" s="17">
        <f t="shared" si="0"/>
        <v>5</v>
      </c>
      <c r="C14" s="2" t="s">
        <v>110</v>
      </c>
      <c r="D14" s="2" t="s">
        <v>108</v>
      </c>
      <c r="E14" s="2" t="s">
        <v>111</v>
      </c>
      <c r="F14" s="2" t="s">
        <v>102</v>
      </c>
      <c r="G14" s="16"/>
      <c r="H14" s="16"/>
      <c r="I14" s="16"/>
      <c r="J14" s="16"/>
    </row>
    <row r="15" spans="1:10" ht="85.5">
      <c r="A15" s="16"/>
      <c r="B15" s="17">
        <f t="shared" si="0"/>
        <v>6</v>
      </c>
      <c r="C15" s="2" t="s">
        <v>112</v>
      </c>
      <c r="D15" s="2" t="s">
        <v>113</v>
      </c>
      <c r="E15" s="2" t="s">
        <v>114</v>
      </c>
      <c r="F15" s="2" t="s">
        <v>115</v>
      </c>
      <c r="G15" s="16"/>
      <c r="H15" s="16"/>
      <c r="I15" s="16"/>
      <c r="J15" s="16"/>
    </row>
    <row r="16" spans="1:10" ht="99.75">
      <c r="A16" s="16"/>
      <c r="B16" s="17">
        <f t="shared" si="0"/>
        <v>7</v>
      </c>
      <c r="C16" s="2" t="s">
        <v>116</v>
      </c>
      <c r="D16" s="2" t="s">
        <v>117</v>
      </c>
      <c r="E16" s="2" t="s">
        <v>118</v>
      </c>
      <c r="F16" s="2" t="s">
        <v>119</v>
      </c>
      <c r="G16" s="16"/>
      <c r="H16" s="16"/>
      <c r="I16" s="16"/>
      <c r="J16" s="16"/>
    </row>
    <row r="17" spans="2:6" ht="42.75">
      <c r="B17" s="17">
        <f t="shared" si="0"/>
        <v>8</v>
      </c>
      <c r="C17" s="2" t="s">
        <v>120</v>
      </c>
      <c r="D17" s="2" t="s">
        <v>121</v>
      </c>
      <c r="E17" s="2" t="s">
        <v>122</v>
      </c>
      <c r="F17" s="2" t="s">
        <v>123</v>
      </c>
    </row>
    <row r="18" spans="2:6" ht="85.5">
      <c r="B18" s="17">
        <f t="shared" si="0"/>
        <v>9</v>
      </c>
      <c r="C18" s="2" t="s">
        <v>124</v>
      </c>
      <c r="D18" s="2" t="s">
        <v>100</v>
      </c>
      <c r="E18" s="2" t="s">
        <v>125</v>
      </c>
      <c r="F18" s="2" t="s">
        <v>102</v>
      </c>
    </row>
    <row r="19" spans="2:6" ht="85.5">
      <c r="B19" s="17">
        <f t="shared" si="0"/>
        <v>10</v>
      </c>
      <c r="C19" s="1" t="s">
        <v>126</v>
      </c>
      <c r="D19" s="2" t="s">
        <v>127</v>
      </c>
      <c r="E19" s="2" t="s">
        <v>128</v>
      </c>
      <c r="F19" s="2" t="s">
        <v>129</v>
      </c>
    </row>
    <row r="20" spans="2:6">
      <c r="B20" s="17">
        <f t="shared" si="0"/>
        <v>11</v>
      </c>
      <c r="C20" s="1"/>
      <c r="D20" s="2"/>
      <c r="E20" s="2"/>
      <c r="F20" s="2"/>
    </row>
    <row r="21" spans="2:6">
      <c r="B21" s="17">
        <f t="shared" si="0"/>
        <v>12</v>
      </c>
      <c r="C21" s="1"/>
      <c r="D21" s="1"/>
      <c r="E21" s="2"/>
      <c r="F21" s="2"/>
    </row>
    <row r="22" spans="2:6">
      <c r="B22" s="17">
        <f t="shared" si="0"/>
        <v>13</v>
      </c>
      <c r="C22" s="1"/>
      <c r="D22" s="2"/>
      <c r="E22" s="2"/>
      <c r="F22" s="2"/>
    </row>
    <row r="23" spans="2:6">
      <c r="B23" s="17">
        <f t="shared" si="0"/>
        <v>14</v>
      </c>
      <c r="C23" s="1"/>
      <c r="D23" s="2"/>
      <c r="E23" s="2"/>
      <c r="F23" s="2"/>
    </row>
    <row r="24" spans="2:6">
      <c r="B24" s="17">
        <f t="shared" si="0"/>
        <v>15</v>
      </c>
      <c r="C24" s="1"/>
      <c r="D24" s="2"/>
      <c r="E24" s="2"/>
      <c r="F24" s="2"/>
    </row>
    <row r="25" spans="2:6">
      <c r="B25" s="17">
        <f t="shared" si="0"/>
        <v>16</v>
      </c>
      <c r="C25" s="1"/>
      <c r="D25" s="2"/>
      <c r="E25" s="2"/>
      <c r="F25" s="2"/>
    </row>
    <row r="26" spans="2:6">
      <c r="B26" s="17">
        <f t="shared" si="0"/>
        <v>17</v>
      </c>
      <c r="C26" s="1"/>
      <c r="D26" s="1"/>
      <c r="E26" s="2"/>
      <c r="F26" s="2"/>
    </row>
    <row r="27" spans="2:6">
      <c r="B27" s="17">
        <f t="shared" si="0"/>
        <v>18</v>
      </c>
      <c r="C27" s="1"/>
      <c r="D27" s="2"/>
      <c r="E27" s="1"/>
      <c r="F27" s="1"/>
    </row>
    <row r="28" spans="2:6">
      <c r="B28" s="17">
        <f t="shared" si="0"/>
        <v>19</v>
      </c>
      <c r="C28" s="1"/>
      <c r="D28" s="2"/>
      <c r="E28" s="2"/>
      <c r="F28" s="2"/>
    </row>
    <row r="29" spans="2:6">
      <c r="B29" s="17">
        <f t="shared" si="0"/>
        <v>20</v>
      </c>
      <c r="C29" s="1"/>
      <c r="D29" s="2"/>
      <c r="E29" s="2"/>
      <c r="F29" s="2"/>
    </row>
    <row r="30" spans="2:6">
      <c r="B30" s="17">
        <f t="shared" si="0"/>
        <v>21</v>
      </c>
      <c r="C30" s="1"/>
      <c r="D30" s="2"/>
      <c r="E30" s="2"/>
      <c r="F30" s="2"/>
    </row>
    <row r="32" spans="2:6">
      <c r="B32" s="16"/>
      <c r="C32" s="32" t="s">
        <v>130</v>
      </c>
      <c r="D32" s="33"/>
      <c r="E32" s="33"/>
      <c r="F32" s="15" t="s">
        <v>40</v>
      </c>
    </row>
    <row r="35" spans="6:6">
      <c r="F35" s="16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Andreea</dc:creator>
  <cp:keywords/>
  <dc:description/>
  <cp:lastModifiedBy/>
  <cp:revision/>
  <dcterms:created xsi:type="dcterms:W3CDTF">2015-02-21T15:59:19Z</dcterms:created>
  <dcterms:modified xsi:type="dcterms:W3CDTF">2026-03-09T12:44:45Z</dcterms:modified>
  <cp:category/>
  <cp:contentStatus/>
</cp:coreProperties>
</file>