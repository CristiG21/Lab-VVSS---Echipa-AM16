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5"/>
  <workbookPr filterPrivacy="1" defaultThemeVersion="124226"/>
  <xr:revisionPtr revIDLastSave="0" documentId="13_ncr:1_{DC4EE0F0-3C19-944D-83B8-607E51890B64}" xr6:coauthVersionLast="47" xr6:coauthVersionMax="47" xr10:uidLastSave="{00000000-0000-0000-0000-000000000000}"/>
  <bookViews>
    <workbookView xWindow="0" yWindow="660" windowWidth="25340" windowHeight="20040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5" authorId="0" shapeId="0" xr:uid="{00000000-0006-0000-0300-000001000000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fill with DONE or n/a after re-testing</t>
        </r>
      </text>
    </comment>
    <comment ref="M25" authorId="0" shapeId="0" xr:uid="{00000000-0006-0000-0300-000002000000}">
      <text>
        <r>
          <rPr>
            <b/>
            <sz val="9"/>
            <color rgb="FF000000"/>
            <rFont val="Tahoma"/>
            <family val="2"/>
          </rPr>
          <t xml:space="preserve">Author:
</t>
        </r>
        <r>
          <rPr>
            <sz val="9"/>
            <color rgb="FF000000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<sst xmlns="http://schemas.openxmlformats.org/spreadsheetml/2006/main" count="437" uniqueCount="158">
  <si>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</si>
  <si>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</si>
  <si>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</si>
  <si>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</si>
  <si>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</si>
  <si>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</si>
  <si>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</si>
  <si>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</si>
  <si>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</si>
  <si>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</si>
  <si>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</si>
  <si>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</si>
  <si>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</si>
  <si>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</si>
  <si>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</si>
  <si>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</si>
  <si>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</si>
  <si>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</si>
  <si>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</si>
  <si>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</si>
  <si>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</si>
  <si>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</si>
  <si>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</si>
  <si>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</si>
  <si>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</si>
  <si>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</si>
  <si>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</si>
  <si>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2,3,2</t>
  </si>
  <si>
    <t>record added</t>
  </si>
  <si>
    <t>-</t>
  </si>
  <si>
    <t>""</t>
  </si>
  <si>
    <t>Error message-? Compiler checked</t>
  </si>
  <si>
    <t>?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</si>
  <si>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</si>
  <si>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</si>
  <si>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</si>
  <si>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</si>
  <si>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</si>
  <si>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</si>
  <si>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</si>
  <si>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</si>
  <si>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TC3_EC</t>
  </si>
  <si>
    <t>no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</si>
  <si>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</si>
  <si>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</si>
  <si>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</si>
  <si>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</si>
  <si>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</si>
  <si>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</si>
  <si>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</si>
  <si>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</si>
  <si>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</si>
  <si>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</si>
  <si>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</si>
  <si>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</si>
  <si>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</si>
  <si>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</si>
  <si>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</si>
  <si>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</si>
  <si>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</si>
  <si>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</si>
  <si>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</si>
  <si>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</si>
  <si>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</si>
  <si>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</si>
  <si>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George Dan-Cristian</t>
  </si>
  <si>
    <t>Grava Bianca-Adelina</t>
  </si>
  <si>
    <t>Goia Darius-Ioan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</si>
  <si>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(nume, pret, categorie, tip, reteta);</t>
    </r>
  </si>
  <si>
    <t>nume not String</t>
  </si>
  <si>
    <t>nume.length &lt;= 0</t>
  </si>
  <si>
    <t>pret not number</t>
  </si>
  <si>
    <t>pret &gt; 0</t>
  </si>
  <si>
    <t>pret &lt;= 0</t>
  </si>
  <si>
    <t>0 &lt; nume.length &lt; 256</t>
  </si>
  <si>
    <t>nume.length &gt;= 256</t>
  </si>
  <si>
    <t>reteta not Reteta</t>
  </si>
  <si>
    <t>reteta inexistenta</t>
  </si>
  <si>
    <t>reteta neutilizata</t>
  </si>
  <si>
    <t>reteta deja asociata altui produs</t>
  </si>
  <si>
    <t>nume</t>
  </si>
  <si>
    <t>pret</t>
  </si>
  <si>
    <t>tip</t>
  </si>
  <si>
    <t>reteta</t>
  </si>
  <si>
    <t>preconditie</t>
  </si>
  <si>
    <t>"Fresh Orange"</t>
  </si>
  <si>
    <t>R101</t>
  </si>
  <si>
    <t>reteta exista, neutilizata</t>
  </si>
  <si>
    <t>Error message - Empty name</t>
  </si>
  <si>
    <t>"a"  * 300</t>
  </si>
  <si>
    <t>Error message - Name must have less than 256 characters</t>
  </si>
  <si>
    <t>categorie is CategorieBautura</t>
  </si>
  <si>
    <t>categorie not CategorieBautura</t>
  </si>
  <si>
    <t>tip is TipBautura</t>
  </si>
  <si>
    <t>tip not TipBautura</t>
  </si>
  <si>
    <t>Juice</t>
  </si>
  <si>
    <t>Basic</t>
  </si>
  <si>
    <t>abc</t>
  </si>
  <si>
    <t>Error message - Invalid price format</t>
  </si>
  <si>
    <t>Error message - Price must be &gt; 0</t>
  </si>
  <si>
    <t>R201</t>
  </si>
  <si>
    <t>reteta exista, dar este folosita</t>
  </si>
  <si>
    <t>Error message - Invalid recipe</t>
  </si>
  <si>
    <t>Error message - Recipe already used</t>
  </si>
  <si>
    <t>nume is String, length in [1,255]</t>
  </si>
  <si>
    <t>01. nume = "", length = 0</t>
  </si>
  <si>
    <t>02. nume = ?, length = -1</t>
  </si>
  <si>
    <t>03. nume = "F", length = 1</t>
  </si>
  <si>
    <t>04. nume = "F…123", length = 255</t>
  </si>
  <si>
    <t>05. nume = "F…12", length = 254</t>
  </si>
  <si>
    <t>06. nume = "F…1234", length = 256</t>
  </si>
  <si>
    <t>13. pret = - 0,01</t>
  </si>
  <si>
    <t>14. pret = 0,00</t>
  </si>
  <si>
    <t>15. pret = 0,01</t>
  </si>
  <si>
    <t>16. pret = DOUBLEMAX - 1</t>
  </si>
  <si>
    <t>17. pret = DOUBLEMAX</t>
  </si>
  <si>
    <t>18. pret = DOUBLEMAX + 1</t>
  </si>
  <si>
    <t>yes</t>
  </si>
  <si>
    <t>TC2_EC</t>
  </si>
  <si>
    <t>"F"</t>
  </si>
  <si>
    <t>"F…123"</t>
  </si>
  <si>
    <t>"F…12"</t>
  </si>
  <si>
    <t>"F…1234"</t>
  </si>
  <si>
    <t>TC1_EC</t>
  </si>
  <si>
    <t>TC4_EC</t>
  </si>
  <si>
    <t>DOUBLEMAX - 1</t>
  </si>
  <si>
    <t>DOUBLEMAX</t>
  </si>
  <si>
    <t>DOUBLEMAX + 1</t>
  </si>
  <si>
    <t>TC6_EC</t>
  </si>
  <si>
    <t>pret is number, pret &gt; 0</t>
  </si>
  <si>
    <t>nume is String, 0 &lt; nume.length &lt; 256</t>
  </si>
  <si>
    <t>reteta is Reteta, exista si nu e asociata unui produs</t>
  </si>
  <si>
    <t>3, 6, 8, 10, 15</t>
  </si>
  <si>
    <t>1, 6, 8, 10, 15</t>
  </si>
  <si>
    <t>2, 6, 8, 10, 15</t>
  </si>
  <si>
    <t>4, 6, 8, 10, 15</t>
  </si>
  <si>
    <t>3, 5, 8, 10, 15</t>
  </si>
  <si>
    <t>3, 7, 8, 10, 15</t>
  </si>
  <si>
    <t>3, 6, 9, 10, 15</t>
  </si>
  <si>
    <t>3, 6, 8, 11, 15</t>
  </si>
  <si>
    <t>3, 6, 8, 10, 12</t>
  </si>
  <si>
    <t>3, 6, 8, 10, 13</t>
  </si>
  <si>
    <t>3, 6, 8, 10, 14</t>
  </si>
  <si>
    <t>R301</t>
  </si>
  <si>
    <t>TC5_EC</t>
  </si>
  <si>
    <t>TC10_EC</t>
  </si>
  <si>
    <t>TC11_EC</t>
  </si>
  <si>
    <t>TC1_BVA</t>
  </si>
  <si>
    <t>TC6_BVA</t>
  </si>
  <si>
    <t>TC7_BVA</t>
  </si>
  <si>
    <t>TC8_BVA</t>
  </si>
  <si>
    <t>TC9_BVA</t>
  </si>
  <si>
    <t>TC10_BVA</t>
  </si>
  <si>
    <t>TC11_BVA</t>
  </si>
  <si>
    <t>MyDrinkShop</t>
  </si>
  <si>
    <t>1. Aplicația trebuie să permită gestionarea produselor (băuturi):</t>
  </si>
  <si>
    <r>
      <rPr>
        <b/>
        <sz val="12"/>
        <color indexed="8"/>
        <rFont val="Calibri (Body)"/>
      </rPr>
      <t>F01.</t>
    </r>
    <r>
      <rPr>
        <sz val="12"/>
        <color theme="1"/>
        <rFont val="Calibri (Body)"/>
      </rPr>
      <t xml:space="preserve"> adăugarea unui produs nou (nume, pret, categorie, tip, reteta);</t>
    </r>
  </si>
  <si>
    <t>Se cere realizarea unei aplicații software pentru gestionarea activității unui drinks shop, care să permită
administrarea produselor vândute (băuturi), a ingredientelor utilizate, a rețetelor de preparare și a comenzilor
plasate de clienți. La pornirea sistemului, aplicația trebuie să verifice existența fișierelor de date și să le inițializeze;
dacă acestea nu există, vor fi create automat pentru a asigura starea inițială a sistemului.
Aplicația trebuie să ofere funcționalități complete de gestiune, să asigure persistența datelor în fișiere, precum
și o interfață grafică pentru utilizator care să permită navigarea facilă prin meniuri dedicate și timpi de răspuns sub
o secundă pentru operațiunile de filtrare.
Soluția trebuie implementată respectând principiile programării orientate pe obiect și o arhitectură stratificată,
care separă clar:
• modelul de date,
• logica de business,
• accesul la date,
• interfața cu utilizatorul.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</si>
</sst>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Helvetica"/>
      <family val="2"/>
    </font>
    <font>
      <sz val="12"/>
      <color theme="1"/>
      <name val="Calibri (Body)"/>
    </font>
    <font>
      <b/>
      <sz val="12"/>
      <color indexed="8"/>
      <name val="Calibri (Body)"/>
    </font>
    <font>
      <b/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7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2" fillId="0" borderId="1" xfId="0" applyFont="1" applyBorder="1" applyAlignment="1">
      <alignment horizontal="left"/>
    </xf>
    <xf numFmtId="0" fontId="12" fillId="0" borderId="1" xfId="0" applyFont="1" applyBorder="1"/>
    <xf numFmtId="0" fontId="15" fillId="0" borderId="0" xfId="0" applyFont="1"/>
    <xf numFmtId="0" fontId="0" fillId="0" borderId="7" xfId="0" applyBorder="1"/>
    <xf numFmtId="0" fontId="7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0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7" fillId="2" borderId="7" xfId="0" applyFont="1" applyFill="1" applyBorder="1" applyAlignment="1">
      <alignment horizontal="center"/>
    </xf>
    <xf numFmtId="0" fontId="18" fillId="2" borderId="11" xfId="0" applyFont="1" applyFill="1" applyBorder="1" applyAlignment="1">
      <alignment horizontal="center"/>
    </xf>
    <xf numFmtId="0" fontId="19" fillId="0" borderId="0" xfId="0" applyFont="1"/>
    <xf numFmtId="0" fontId="0" fillId="0" borderId="0" xfId="0" applyAlignment="1">
      <alignment vertical="center"/>
    </xf>
    <xf numFmtId="0" fontId="13" fillId="0" borderId="0" xfId="0" applyFont="1"/>
    <xf numFmtId="0" fontId="20" fillId="0" borderId="0" xfId="0" applyFont="1"/>
    <xf numFmtId="0" fontId="14" fillId="0" borderId="12" xfId="0" applyFont="1" applyBorder="1"/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33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13" xfId="0" applyBorder="1"/>
    <xf numFmtId="0" fontId="0" fillId="0" borderId="33" xfId="0" applyBorder="1"/>
    <xf numFmtId="0" fontId="0" fillId="0" borderId="0" xfId="0" applyAlignment="1">
      <alignment vertical="center" wrapText="1"/>
    </xf>
    <xf numFmtId="0" fontId="0" fillId="0" borderId="33" xfId="0" applyBorder="1" applyAlignment="1">
      <alignment vertical="center" wrapText="1"/>
    </xf>
    <xf numFmtId="0" fontId="0" fillId="0" borderId="33" xfId="0" applyBorder="1" applyAlignment="1">
      <alignment vertical="center"/>
    </xf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12" fillId="0" borderId="34" xfId="0" applyFont="1" applyBorder="1" applyAlignment="1">
      <alignment vertical="top" wrapText="1"/>
    </xf>
    <xf numFmtId="0" fontId="0" fillId="0" borderId="13" xfId="0" applyBorder="1" applyAlignment="1">
      <alignment horizontal="center"/>
    </xf>
    <xf numFmtId="0" fontId="25" fillId="0" borderId="1" xfId="0" applyFont="1" applyBorder="1"/>
    <xf numFmtId="0" fontId="25" fillId="0" borderId="13" xfId="0" applyFont="1" applyBorder="1"/>
    <xf numFmtId="0" fontId="7" fillId="0" borderId="33" xfId="0" applyFont="1" applyBorder="1" applyAlignment="1">
      <alignment horizontal="center" vertical="center"/>
    </xf>
    <xf numFmtId="0" fontId="0" fillId="0" borderId="10" xfId="0" applyBorder="1"/>
    <xf numFmtId="0" fontId="0" fillId="0" borderId="5" xfId="0" applyBorder="1"/>
    <xf numFmtId="0" fontId="9" fillId="0" borderId="20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7" fillId="4" borderId="10" xfId="0" applyFont="1" applyFill="1" applyBorder="1" applyAlignment="1">
      <alignment horizontal="center"/>
    </xf>
    <xf numFmtId="0" fontId="7" fillId="4" borderId="12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/>
    </xf>
    <xf numFmtId="0" fontId="7" fillId="0" borderId="1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7" fillId="0" borderId="10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32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0" xfId="0" applyAlignment="1">
      <alignment horizontal="center"/>
    </xf>
    <xf numFmtId="0" fontId="11" fillId="0" borderId="33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0" fillId="0" borderId="33" xfId="0" applyBorder="1" applyAlignment="1">
      <alignment horizontal="center"/>
    </xf>
    <xf numFmtId="0" fontId="24" fillId="0" borderId="13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13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24" fillId="0" borderId="5" xfId="0" applyFont="1" applyBorder="1" applyAlignment="1">
      <alignment horizontal="center"/>
    </xf>
    <xf numFmtId="0" fontId="12" fillId="0" borderId="1" xfId="0" applyFont="1" applyBorder="1" applyAlignment="1">
      <alignment horizontal="center" vertical="top" wrapText="1"/>
    </xf>
    <xf numFmtId="0" fontId="7" fillId="0" borderId="1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/>
    </xf>
    <xf numFmtId="0" fontId="9" fillId="3" borderId="35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7" fillId="0" borderId="16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8" fillId="2" borderId="22" xfId="0" applyFont="1" applyFill="1" applyBorder="1" applyAlignment="1">
      <alignment horizontal="center"/>
    </xf>
    <xf numFmtId="0" fontId="18" fillId="2" borderId="5" xfId="0" applyFont="1" applyFill="1" applyBorder="1" applyAlignment="1">
      <alignment horizontal="center"/>
    </xf>
    <xf numFmtId="0" fontId="7" fillId="0" borderId="10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14" fontId="14" fillId="0" borderId="12" xfId="0" applyNumberFormat="1" applyFont="1" applyBorder="1"/>
    <xf numFmtId="0" fontId="9" fillId="3" borderId="36" xfId="0" applyFont="1" applyFill="1" applyBorder="1" applyAlignment="1">
      <alignment horizontal="center" vertical="center"/>
    </xf>
    <xf numFmtId="0" fontId="26" fillId="0" borderId="0" xfId="0" applyFont="1" applyAlignment="1">
      <alignment horizontal="left"/>
    </xf>
    <xf numFmtId="0" fontId="27" fillId="0" borderId="0" xfId="0" applyFont="1" applyBorder="1" applyAlignment="1">
      <alignment horizontal="left"/>
    </xf>
    <xf numFmtId="0" fontId="1" fillId="0" borderId="0" xfId="0" applyFont="1" applyAlignment="1">
      <alignment horizontal="left" vertical="top" wrapText="1"/>
    </xf>
    <xf numFmtId="0" fontId="29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2"/>
  <sheetViews>
    <sheetView tabSelected="1" workbookViewId="0">
      <selection activeCell="I12" sqref="I12"/>
    </sheetView>
  </sheetViews>
  <sheetFormatPr baseColWidth="10" defaultColWidth="8.83203125" defaultRowHeight="15" x14ac:dyDescent="0.2"/>
  <cols>
    <col min="4" max="4" width="22.5" customWidth="1"/>
    <col min="9" max="9" width="32.83203125" customWidth="1"/>
    <col min="10" max="10" width="10.5" customWidth="1"/>
    <col min="12" max="12" width="12.1640625" customWidth="1"/>
    <col min="14" max="14" width="20" customWidth="1"/>
  </cols>
  <sheetData>
    <row r="1" spans="2:10" x14ac:dyDescent="0.2">
      <c r="C1" s="57" t="s">
        <v>0</v>
      </c>
      <c r="D1" s="58"/>
      <c r="E1" s="58"/>
      <c r="F1" s="59"/>
      <c r="H1" s="33" t="s">
        <v>1</v>
      </c>
      <c r="I1" s="33"/>
      <c r="J1" s="134">
        <v>46103</v>
      </c>
    </row>
    <row r="2" spans="2:10" x14ac:dyDescent="0.2">
      <c r="H2" s="60" t="s">
        <v>2</v>
      </c>
      <c r="I2" s="60"/>
      <c r="J2" s="60"/>
    </row>
    <row r="3" spans="2:10" x14ac:dyDescent="0.2">
      <c r="H3" s="2"/>
      <c r="I3" s="2" t="s">
        <v>3</v>
      </c>
      <c r="J3" s="2" t="s">
        <v>4</v>
      </c>
    </row>
    <row r="4" spans="2:10" x14ac:dyDescent="0.2">
      <c r="H4" s="2" t="s">
        <v>5</v>
      </c>
      <c r="I4" s="2" t="s">
        <v>65</v>
      </c>
      <c r="J4" s="2">
        <v>233</v>
      </c>
    </row>
    <row r="5" spans="2:10" x14ac:dyDescent="0.2">
      <c r="H5" s="2" t="s">
        <v>6</v>
      </c>
      <c r="I5" s="2" t="s">
        <v>66</v>
      </c>
      <c r="J5" s="2">
        <v>233</v>
      </c>
    </row>
    <row r="6" spans="2:10" x14ac:dyDescent="0.2">
      <c r="B6" s="19"/>
      <c r="H6" s="2" t="s">
        <v>7</v>
      </c>
      <c r="I6" s="2" t="s">
        <v>67</v>
      </c>
      <c r="J6" s="2">
        <v>233</v>
      </c>
    </row>
    <row r="7" spans="2:10" ht="14.5" customHeight="1" x14ac:dyDescent="0.2"/>
    <row r="8" spans="2:10" ht="16" x14ac:dyDescent="0.2">
      <c r="B8" s="139" t="s">
        <v>154</v>
      </c>
    </row>
    <row r="9" spans="2:10" ht="220" customHeight="1" x14ac:dyDescent="0.2">
      <c r="B9" s="138" t="s">
        <v>157</v>
      </c>
      <c r="C9" s="138"/>
      <c r="D9" s="138"/>
      <c r="E9" s="138"/>
      <c r="F9" s="138"/>
      <c r="G9" s="138"/>
      <c r="H9" s="138"/>
      <c r="I9" s="138"/>
    </row>
    <row r="10" spans="2:10" x14ac:dyDescent="0.2">
      <c r="B10" s="1"/>
      <c r="C10" s="1"/>
      <c r="D10" s="1"/>
      <c r="E10" s="1"/>
    </row>
    <row r="11" spans="2:10" x14ac:dyDescent="0.2">
      <c r="B11" s="136" t="s">
        <v>155</v>
      </c>
      <c r="C11" s="136"/>
      <c r="D11" s="136"/>
      <c r="E11" s="136"/>
      <c r="F11" s="136"/>
      <c r="G11" s="136"/>
    </row>
    <row r="12" spans="2:10" ht="16" x14ac:dyDescent="0.2">
      <c r="B12" s="137" t="s">
        <v>156</v>
      </c>
      <c r="C12" s="137"/>
      <c r="D12" s="137"/>
      <c r="E12" s="137"/>
      <c r="F12" s="137"/>
      <c r="G12" s="137"/>
    </row>
    <row r="13" spans="2:10" x14ac:dyDescent="0.2">
      <c r="B13" s="1"/>
      <c r="D13" s="1"/>
      <c r="E13" s="1"/>
    </row>
    <row r="14" spans="2:10" x14ac:dyDescent="0.2">
      <c r="B14" s="31" t="s">
        <v>8</v>
      </c>
    </row>
    <row r="15" spans="2:10" x14ac:dyDescent="0.2">
      <c r="B15" s="1" t="s">
        <v>9</v>
      </c>
    </row>
    <row r="16" spans="2:10" x14ac:dyDescent="0.2">
      <c r="C16" s="29" t="s">
        <v>10</v>
      </c>
    </row>
    <row r="17" spans="1:15" x14ac:dyDescent="0.2">
      <c r="B17" s="1" t="s">
        <v>11</v>
      </c>
    </row>
    <row r="18" spans="1:15" x14ac:dyDescent="0.2">
      <c r="B18" s="1" t="s">
        <v>12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2">
      <c r="B19" s="1" t="s">
        <v>13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4.5" customHeight="1" x14ac:dyDescent="0.2">
      <c r="A20" s="30"/>
      <c r="B20" s="56" t="s">
        <v>14</v>
      </c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</row>
    <row r="22" spans="1:15" x14ac:dyDescent="0.2">
      <c r="C22" s="32"/>
    </row>
  </sheetData>
  <mergeCells count="6">
    <mergeCell ref="B20:N20"/>
    <mergeCell ref="C1:F1"/>
    <mergeCell ref="H2:J2"/>
    <mergeCell ref="B12:G12"/>
    <mergeCell ref="B11:G11"/>
    <mergeCell ref="B9:I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5"/>
  <sheetViews>
    <sheetView workbookViewId="0">
      <selection activeCell="B3" sqref="B3:G3"/>
    </sheetView>
  </sheetViews>
  <sheetFormatPr baseColWidth="10" defaultColWidth="8.83203125" defaultRowHeight="15" x14ac:dyDescent="0.2"/>
  <cols>
    <col min="2" max="2" width="10.1640625" bestFit="1" customWidth="1"/>
    <col min="3" max="3" width="23" customWidth="1"/>
    <col min="4" max="4" width="24.83203125" customWidth="1"/>
    <col min="5" max="5" width="27" customWidth="1"/>
    <col min="6" max="6" width="5.83203125" customWidth="1"/>
    <col min="7" max="7" width="8" customWidth="1"/>
    <col min="8" max="8" width="25.1640625" customWidth="1"/>
    <col min="9" max="9" width="13" customWidth="1"/>
    <col min="10" max="10" width="25.5" bestFit="1" customWidth="1"/>
    <col min="11" max="11" width="9.83203125" bestFit="1" customWidth="1"/>
    <col min="12" max="12" width="12.83203125" bestFit="1" customWidth="1"/>
    <col min="13" max="13" width="8.83203125" bestFit="1" customWidth="1"/>
    <col min="15" max="15" width="15.5" customWidth="1"/>
    <col min="16" max="16" width="29.5" customWidth="1"/>
    <col min="17" max="17" width="19.6640625" customWidth="1"/>
  </cols>
  <sheetData>
    <row r="1" spans="2:17" x14ac:dyDescent="0.2">
      <c r="B1" s="57" t="s">
        <v>0</v>
      </c>
      <c r="C1" s="58"/>
      <c r="D1" s="58"/>
      <c r="E1" s="59"/>
    </row>
    <row r="3" spans="2:17" x14ac:dyDescent="0.2">
      <c r="B3" s="69" t="s">
        <v>68</v>
      </c>
      <c r="C3" s="70"/>
      <c r="D3" s="70"/>
      <c r="E3" s="70"/>
      <c r="F3" s="70"/>
      <c r="G3" s="71"/>
    </row>
    <row r="5" spans="2:17" x14ac:dyDescent="0.2">
      <c r="B5" s="72" t="s">
        <v>15</v>
      </c>
      <c r="C5" s="72"/>
      <c r="D5" s="72"/>
      <c r="E5" s="72"/>
      <c r="G5" s="73" t="s">
        <v>16</v>
      </c>
      <c r="H5" s="73"/>
      <c r="I5" s="73"/>
      <c r="J5" s="73"/>
      <c r="K5" s="73"/>
      <c r="L5" s="73"/>
      <c r="M5" s="73"/>
      <c r="N5" s="73"/>
      <c r="O5" s="73"/>
      <c r="P5" s="73"/>
      <c r="Q5" s="73"/>
    </row>
    <row r="6" spans="2:17" x14ac:dyDescent="0.2">
      <c r="B6" s="10" t="s">
        <v>17</v>
      </c>
      <c r="C6" s="10" t="s">
        <v>18</v>
      </c>
      <c r="D6" s="10" t="s">
        <v>19</v>
      </c>
      <c r="E6" s="10" t="s">
        <v>20</v>
      </c>
      <c r="G6" s="74" t="s">
        <v>21</v>
      </c>
      <c r="H6" s="80" t="s">
        <v>22</v>
      </c>
      <c r="I6" s="78" t="s">
        <v>23</v>
      </c>
      <c r="J6" s="83"/>
      <c r="K6" s="83"/>
      <c r="L6" s="83"/>
      <c r="M6" s="83"/>
      <c r="N6" s="83"/>
      <c r="O6" s="79"/>
      <c r="P6" s="82" t="s">
        <v>24</v>
      </c>
      <c r="Q6" s="82"/>
    </row>
    <row r="7" spans="2:17" ht="15" customHeight="1" x14ac:dyDescent="0.2">
      <c r="B7" s="4">
        <v>1</v>
      </c>
      <c r="C7" s="63" t="s">
        <v>130</v>
      </c>
      <c r="D7" s="4"/>
      <c r="E7" s="4" t="s">
        <v>69</v>
      </c>
      <c r="G7" s="75"/>
      <c r="H7" s="81"/>
      <c r="I7" s="10" t="s">
        <v>80</v>
      </c>
      <c r="J7" s="10" t="s">
        <v>81</v>
      </c>
      <c r="K7" s="10" t="s">
        <v>25</v>
      </c>
      <c r="L7" s="10" t="s">
        <v>82</v>
      </c>
      <c r="M7" s="10" t="s">
        <v>83</v>
      </c>
      <c r="N7" s="78" t="s">
        <v>84</v>
      </c>
      <c r="O7" s="79"/>
      <c r="P7" s="78" t="s">
        <v>26</v>
      </c>
      <c r="Q7" s="79"/>
    </row>
    <row r="8" spans="2:17" x14ac:dyDescent="0.2">
      <c r="B8" s="4">
        <v>2</v>
      </c>
      <c r="C8" s="64"/>
      <c r="D8" s="4"/>
      <c r="E8" s="4" t="s">
        <v>70</v>
      </c>
      <c r="G8" s="10">
        <v>1</v>
      </c>
      <c r="H8" s="2" t="s">
        <v>132</v>
      </c>
      <c r="I8" s="2" t="s">
        <v>85</v>
      </c>
      <c r="J8" s="2">
        <v>12.5</v>
      </c>
      <c r="K8" s="2" t="s">
        <v>95</v>
      </c>
      <c r="L8" s="2" t="s">
        <v>96</v>
      </c>
      <c r="M8" s="2" t="s">
        <v>86</v>
      </c>
      <c r="N8" s="61" t="s">
        <v>87</v>
      </c>
      <c r="O8" s="62" t="s">
        <v>27</v>
      </c>
      <c r="P8" s="61" t="s">
        <v>28</v>
      </c>
      <c r="Q8" s="62"/>
    </row>
    <row r="9" spans="2:17" x14ac:dyDescent="0.2">
      <c r="B9" s="4">
        <v>3</v>
      </c>
      <c r="C9" s="64"/>
      <c r="D9" s="4" t="s">
        <v>74</v>
      </c>
      <c r="E9" s="4"/>
      <c r="G9" s="10">
        <v>2</v>
      </c>
      <c r="H9" s="2" t="s">
        <v>133</v>
      </c>
      <c r="I9" s="2" t="s">
        <v>32</v>
      </c>
      <c r="J9" s="2">
        <v>12.5</v>
      </c>
      <c r="K9" s="2" t="s">
        <v>95</v>
      </c>
      <c r="L9" s="2" t="s">
        <v>96</v>
      </c>
      <c r="M9" s="2" t="s">
        <v>86</v>
      </c>
      <c r="N9" s="61" t="s">
        <v>87</v>
      </c>
      <c r="O9" s="62" t="s">
        <v>27</v>
      </c>
      <c r="P9" s="76" t="s">
        <v>31</v>
      </c>
      <c r="Q9" s="77"/>
    </row>
    <row r="10" spans="2:17" x14ac:dyDescent="0.2">
      <c r="B10" s="4">
        <v>4</v>
      </c>
      <c r="C10" s="65"/>
      <c r="D10" s="4"/>
      <c r="E10" s="4" t="s">
        <v>75</v>
      </c>
      <c r="G10" s="10">
        <v>3</v>
      </c>
      <c r="H10" s="50" t="s">
        <v>134</v>
      </c>
      <c r="I10" s="2" t="s">
        <v>30</v>
      </c>
      <c r="J10" s="2">
        <v>12.5</v>
      </c>
      <c r="K10" s="2" t="s">
        <v>95</v>
      </c>
      <c r="L10" s="2" t="s">
        <v>96</v>
      </c>
      <c r="M10" s="2" t="s">
        <v>86</v>
      </c>
      <c r="N10" s="61" t="s">
        <v>87</v>
      </c>
      <c r="O10" s="62" t="s">
        <v>27</v>
      </c>
      <c r="P10" s="61" t="s">
        <v>88</v>
      </c>
      <c r="Q10" s="62"/>
    </row>
    <row r="11" spans="2:17" x14ac:dyDescent="0.2">
      <c r="B11" s="4">
        <v>5</v>
      </c>
      <c r="C11" s="66" t="s">
        <v>129</v>
      </c>
      <c r="D11" s="4"/>
      <c r="E11" s="4" t="s">
        <v>71</v>
      </c>
      <c r="G11" s="10">
        <v>4</v>
      </c>
      <c r="H11" s="50" t="s">
        <v>135</v>
      </c>
      <c r="I11" s="2" t="s">
        <v>89</v>
      </c>
      <c r="J11" s="2">
        <v>12.5</v>
      </c>
      <c r="K11" s="2" t="s">
        <v>95</v>
      </c>
      <c r="L11" s="2" t="s">
        <v>96</v>
      </c>
      <c r="M11" s="2" t="s">
        <v>86</v>
      </c>
      <c r="N11" s="61" t="s">
        <v>87</v>
      </c>
      <c r="O11" s="62"/>
      <c r="P11" s="61" t="s">
        <v>90</v>
      </c>
      <c r="Q11" s="62"/>
    </row>
    <row r="12" spans="2:17" ht="15" customHeight="1" x14ac:dyDescent="0.2">
      <c r="B12" s="4">
        <v>6</v>
      </c>
      <c r="C12" s="67"/>
      <c r="D12" s="4" t="s">
        <v>72</v>
      </c>
      <c r="E12" s="4"/>
      <c r="G12" s="10">
        <v>5</v>
      </c>
      <c r="H12" s="50" t="s">
        <v>136</v>
      </c>
      <c r="I12" s="2" t="s">
        <v>85</v>
      </c>
      <c r="J12" s="2" t="s">
        <v>97</v>
      </c>
      <c r="K12" s="2" t="s">
        <v>95</v>
      </c>
      <c r="L12" s="2" t="s">
        <v>96</v>
      </c>
      <c r="M12" s="2" t="s">
        <v>86</v>
      </c>
      <c r="N12" s="61" t="s">
        <v>87</v>
      </c>
      <c r="O12" s="62"/>
      <c r="P12" s="61" t="s">
        <v>98</v>
      </c>
      <c r="Q12" s="62"/>
    </row>
    <row r="13" spans="2:17" x14ac:dyDescent="0.2">
      <c r="B13" s="4">
        <v>7</v>
      </c>
      <c r="C13" s="68"/>
      <c r="D13" s="4"/>
      <c r="E13" s="4" t="s">
        <v>73</v>
      </c>
      <c r="G13" s="10">
        <v>6</v>
      </c>
      <c r="H13" s="50" t="s">
        <v>137</v>
      </c>
      <c r="I13" s="2" t="s">
        <v>85</v>
      </c>
      <c r="J13" s="2">
        <v>0</v>
      </c>
      <c r="K13" s="2" t="s">
        <v>95</v>
      </c>
      <c r="L13" s="2" t="s">
        <v>96</v>
      </c>
      <c r="M13" s="2" t="s">
        <v>86</v>
      </c>
      <c r="N13" s="61" t="s">
        <v>87</v>
      </c>
      <c r="O13" s="62"/>
      <c r="P13" s="61" t="s">
        <v>99</v>
      </c>
      <c r="Q13" s="62"/>
    </row>
    <row r="14" spans="2:17" x14ac:dyDescent="0.2">
      <c r="B14" s="4">
        <v>8</v>
      </c>
      <c r="C14" s="66" t="s">
        <v>91</v>
      </c>
      <c r="D14" s="4" t="s">
        <v>91</v>
      </c>
      <c r="E14" s="4"/>
      <c r="G14" s="10">
        <v>7</v>
      </c>
      <c r="H14" s="50" t="s">
        <v>138</v>
      </c>
      <c r="I14" s="2" t="s">
        <v>85</v>
      </c>
      <c r="J14" s="2">
        <v>12.5</v>
      </c>
      <c r="K14" s="2" t="s">
        <v>97</v>
      </c>
      <c r="L14" s="2" t="s">
        <v>96</v>
      </c>
      <c r="M14" s="2" t="s">
        <v>86</v>
      </c>
      <c r="N14" s="61" t="s">
        <v>87</v>
      </c>
      <c r="O14" s="62"/>
      <c r="P14" s="76" t="s">
        <v>31</v>
      </c>
      <c r="Q14" s="77"/>
    </row>
    <row r="15" spans="2:17" ht="15" customHeight="1" x14ac:dyDescent="0.2">
      <c r="B15" s="4">
        <v>9</v>
      </c>
      <c r="C15" s="68"/>
      <c r="D15" s="4"/>
      <c r="E15" s="4" t="s">
        <v>92</v>
      </c>
      <c r="G15" s="10">
        <v>8</v>
      </c>
      <c r="H15" s="50" t="s">
        <v>139</v>
      </c>
      <c r="I15" s="2" t="s">
        <v>85</v>
      </c>
      <c r="J15" s="2">
        <v>12.5</v>
      </c>
      <c r="K15" s="2" t="s">
        <v>95</v>
      </c>
      <c r="L15" s="2" t="s">
        <v>97</v>
      </c>
      <c r="M15" s="2" t="s">
        <v>86</v>
      </c>
      <c r="N15" s="61" t="s">
        <v>87</v>
      </c>
      <c r="O15" s="62"/>
      <c r="P15" s="76" t="s">
        <v>31</v>
      </c>
      <c r="Q15" s="77"/>
    </row>
    <row r="16" spans="2:17" x14ac:dyDescent="0.2">
      <c r="B16" s="4">
        <v>10</v>
      </c>
      <c r="C16" s="66" t="s">
        <v>93</v>
      </c>
      <c r="D16" s="4" t="s">
        <v>93</v>
      </c>
      <c r="E16" s="4"/>
      <c r="G16" s="10">
        <v>9</v>
      </c>
      <c r="H16" s="50" t="s">
        <v>140</v>
      </c>
      <c r="I16" s="2" t="s">
        <v>85</v>
      </c>
      <c r="J16" s="2">
        <v>12.5</v>
      </c>
      <c r="K16" s="2" t="s">
        <v>95</v>
      </c>
      <c r="L16" s="2" t="s">
        <v>96</v>
      </c>
      <c r="M16" s="2" t="s">
        <v>32</v>
      </c>
      <c r="N16" s="61"/>
      <c r="O16" s="62"/>
      <c r="P16" s="76" t="s">
        <v>31</v>
      </c>
      <c r="Q16" s="77"/>
    </row>
    <row r="17" spans="2:17" x14ac:dyDescent="0.2">
      <c r="B17" s="4">
        <v>11</v>
      </c>
      <c r="C17" s="68"/>
      <c r="D17" s="4"/>
      <c r="E17" s="4" t="s">
        <v>94</v>
      </c>
      <c r="G17" s="10">
        <v>10</v>
      </c>
      <c r="H17" s="50" t="s">
        <v>141</v>
      </c>
      <c r="I17" s="2" t="s">
        <v>85</v>
      </c>
      <c r="J17" s="2">
        <v>12.5</v>
      </c>
      <c r="K17" s="2" t="s">
        <v>95</v>
      </c>
      <c r="L17" s="2" t="s">
        <v>96</v>
      </c>
      <c r="M17" s="2" t="s">
        <v>143</v>
      </c>
      <c r="N17" s="61" t="s">
        <v>77</v>
      </c>
      <c r="O17" s="62"/>
      <c r="P17" s="61" t="s">
        <v>102</v>
      </c>
      <c r="Q17" s="62"/>
    </row>
    <row r="18" spans="2:17" ht="15" customHeight="1" x14ac:dyDescent="0.2">
      <c r="B18" s="4">
        <v>12</v>
      </c>
      <c r="C18" s="63" t="s">
        <v>131</v>
      </c>
      <c r="D18" s="34"/>
      <c r="E18" s="34" t="s">
        <v>76</v>
      </c>
      <c r="G18" s="36">
        <v>11</v>
      </c>
      <c r="H18" s="51" t="s">
        <v>142</v>
      </c>
      <c r="I18" s="41" t="s">
        <v>85</v>
      </c>
      <c r="J18" s="41">
        <v>12.5</v>
      </c>
      <c r="K18" s="41" t="s">
        <v>95</v>
      </c>
      <c r="L18" s="41" t="s">
        <v>96</v>
      </c>
      <c r="M18" s="41" t="s">
        <v>100</v>
      </c>
      <c r="N18" s="85" t="s">
        <v>101</v>
      </c>
      <c r="O18" s="86"/>
      <c r="P18" s="85" t="s">
        <v>103</v>
      </c>
      <c r="Q18" s="86"/>
    </row>
    <row r="19" spans="2:17" x14ac:dyDescent="0.2">
      <c r="B19" s="4">
        <v>13</v>
      </c>
      <c r="C19" s="64"/>
      <c r="D19" s="4"/>
      <c r="E19" s="34" t="s">
        <v>77</v>
      </c>
      <c r="G19" s="52"/>
      <c r="H19" s="42"/>
      <c r="I19" s="42"/>
      <c r="J19" s="42"/>
      <c r="K19" s="42"/>
      <c r="L19" s="42"/>
      <c r="M19" s="42"/>
      <c r="N19" s="90"/>
      <c r="O19" s="90"/>
      <c r="P19" s="88"/>
      <c r="Q19" s="88"/>
    </row>
    <row r="20" spans="2:17" ht="16" x14ac:dyDescent="0.2">
      <c r="B20" s="4">
        <v>14</v>
      </c>
      <c r="C20" s="64"/>
      <c r="D20" s="34"/>
      <c r="E20" s="38" t="s">
        <v>79</v>
      </c>
      <c r="G20" s="14"/>
      <c r="N20" s="87"/>
      <c r="O20" s="87"/>
      <c r="P20" s="89"/>
      <c r="Q20" s="89"/>
    </row>
    <row r="21" spans="2:17" x14ac:dyDescent="0.2">
      <c r="B21" s="35">
        <v>15</v>
      </c>
      <c r="C21" s="64"/>
      <c r="D21" s="49" t="s">
        <v>78</v>
      </c>
      <c r="E21" s="49"/>
    </row>
    <row r="22" spans="2:17" x14ac:dyDescent="0.2">
      <c r="B22" s="42"/>
      <c r="C22" s="44"/>
      <c r="D22" s="39"/>
      <c r="E22" s="39"/>
    </row>
    <row r="23" spans="2:17" x14ac:dyDescent="0.2">
      <c r="B23" s="6"/>
      <c r="C23" s="43"/>
      <c r="D23" s="3"/>
      <c r="E23" s="40"/>
      <c r="F23" s="84"/>
      <c r="G23" s="84"/>
    </row>
    <row r="24" spans="2:17" x14ac:dyDescent="0.2">
      <c r="B24" s="6"/>
      <c r="C24" s="43"/>
      <c r="D24" s="3"/>
      <c r="E24" s="6"/>
    </row>
    <row r="25" spans="2:17" x14ac:dyDescent="0.2">
      <c r="B25" s="6"/>
      <c r="C25" s="43"/>
      <c r="D25" s="3"/>
      <c r="E25" s="40"/>
    </row>
  </sheetData>
  <mergeCells count="42">
    <mergeCell ref="F23:G23"/>
    <mergeCell ref="N16:O16"/>
    <mergeCell ref="N17:O17"/>
    <mergeCell ref="N18:O18"/>
    <mergeCell ref="P17:Q17"/>
    <mergeCell ref="P18:Q18"/>
    <mergeCell ref="N20:O20"/>
    <mergeCell ref="P19:Q19"/>
    <mergeCell ref="P20:Q20"/>
    <mergeCell ref="N19:O19"/>
    <mergeCell ref="P16:Q16"/>
    <mergeCell ref="C18:C21"/>
    <mergeCell ref="B1:E1"/>
    <mergeCell ref="C14:C15"/>
    <mergeCell ref="C16:C17"/>
    <mergeCell ref="B3:G3"/>
    <mergeCell ref="B5:E5"/>
    <mergeCell ref="G5:Q5"/>
    <mergeCell ref="G6:G7"/>
    <mergeCell ref="N15:O15"/>
    <mergeCell ref="P11:Q11"/>
    <mergeCell ref="P12:Q12"/>
    <mergeCell ref="P13:Q13"/>
    <mergeCell ref="P14:Q14"/>
    <mergeCell ref="P15:Q15"/>
    <mergeCell ref="N14:O14"/>
    <mergeCell ref="N11:O11"/>
    <mergeCell ref="N10:O10"/>
    <mergeCell ref="P10:Q10"/>
    <mergeCell ref="N13:O13"/>
    <mergeCell ref="C7:C10"/>
    <mergeCell ref="C11:C13"/>
    <mergeCell ref="N12:O12"/>
    <mergeCell ref="P8:Q8"/>
    <mergeCell ref="P9:Q9"/>
    <mergeCell ref="N7:O7"/>
    <mergeCell ref="H6:H7"/>
    <mergeCell ref="P6:Q6"/>
    <mergeCell ref="N9:O9"/>
    <mergeCell ref="I6:O6"/>
    <mergeCell ref="N8:O8"/>
    <mergeCell ref="P7:Q7"/>
  </mergeCells>
  <phoneticPr fontId="2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R30"/>
  <sheetViews>
    <sheetView topLeftCell="E1" workbookViewId="0">
      <selection activeCell="Q15" sqref="Q15:R15"/>
    </sheetView>
  </sheetViews>
  <sheetFormatPr baseColWidth="10" defaultColWidth="8.83203125" defaultRowHeight="15" x14ac:dyDescent="0.2"/>
  <cols>
    <col min="2" max="2" width="11.33203125" bestFit="1" customWidth="1"/>
    <col min="3" max="3" width="12.5" bestFit="1" customWidth="1"/>
    <col min="4" max="4" width="30.1640625" bestFit="1" customWidth="1"/>
    <col min="5" max="5" width="7" customWidth="1"/>
    <col min="6" max="6" width="5.5" customWidth="1"/>
    <col min="7" max="7" width="9.5" customWidth="1"/>
    <col min="9" max="9" width="10" customWidth="1"/>
    <col min="10" max="10" width="10.1640625" bestFit="1" customWidth="1"/>
    <col min="11" max="11" width="17.33203125" customWidth="1"/>
    <col min="12" max="12" width="18.33203125" bestFit="1" customWidth="1"/>
    <col min="13" max="13" width="24.6640625" customWidth="1"/>
    <col min="14" max="14" width="12.83203125" bestFit="1" customWidth="1"/>
    <col min="15" max="15" width="8.83203125" bestFit="1" customWidth="1"/>
    <col min="16" max="16" width="22.1640625" customWidth="1"/>
    <col min="17" max="17" width="23.33203125" customWidth="1"/>
    <col min="18" max="18" width="28.83203125" customWidth="1"/>
  </cols>
  <sheetData>
    <row r="1" spans="2:18" x14ac:dyDescent="0.2">
      <c r="B1" s="57" t="s">
        <v>0</v>
      </c>
      <c r="C1" s="58"/>
      <c r="D1" s="58"/>
      <c r="E1" s="59"/>
    </row>
    <row r="3" spans="2:18" x14ac:dyDescent="0.2">
      <c r="B3" s="69" t="s">
        <v>68</v>
      </c>
      <c r="C3" s="70"/>
      <c r="D3" s="70"/>
      <c r="E3" s="70"/>
      <c r="F3" s="70"/>
      <c r="G3" s="71"/>
    </row>
    <row r="5" spans="2:18" x14ac:dyDescent="0.2">
      <c r="B5" s="97" t="s">
        <v>33</v>
      </c>
      <c r="C5" s="97"/>
      <c r="D5" s="97"/>
      <c r="E5" s="3"/>
      <c r="G5" s="73" t="s">
        <v>34</v>
      </c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</row>
    <row r="6" spans="2:18" ht="14.5" customHeight="1" x14ac:dyDescent="0.2">
      <c r="B6" s="4" t="s">
        <v>35</v>
      </c>
      <c r="C6" s="4" t="s">
        <v>18</v>
      </c>
      <c r="D6" s="4" t="s">
        <v>33</v>
      </c>
      <c r="E6" s="6"/>
      <c r="G6" s="91" t="s">
        <v>36</v>
      </c>
      <c r="H6" s="91" t="s">
        <v>37</v>
      </c>
      <c r="I6" s="91" t="s">
        <v>38</v>
      </c>
      <c r="J6" s="93" t="s">
        <v>39</v>
      </c>
      <c r="K6" s="102" t="s">
        <v>23</v>
      </c>
      <c r="L6" s="103"/>
      <c r="M6" s="103"/>
      <c r="N6" s="103"/>
      <c r="O6" s="103"/>
      <c r="P6" s="104"/>
      <c r="Q6" s="98" t="s">
        <v>24</v>
      </c>
      <c r="R6" s="99"/>
    </row>
    <row r="7" spans="2:18" ht="16" x14ac:dyDescent="0.2">
      <c r="B7" s="66">
        <v>1</v>
      </c>
      <c r="C7" s="63" t="s">
        <v>104</v>
      </c>
      <c r="D7" s="2" t="s">
        <v>105</v>
      </c>
      <c r="G7" s="92"/>
      <c r="H7" s="92"/>
      <c r="I7" s="92"/>
      <c r="J7" s="94"/>
      <c r="K7" s="46" t="s">
        <v>80</v>
      </c>
      <c r="L7" s="46" t="s">
        <v>81</v>
      </c>
      <c r="M7" s="47" t="s">
        <v>25</v>
      </c>
      <c r="N7" s="47" t="s">
        <v>82</v>
      </c>
      <c r="O7" s="46" t="s">
        <v>83</v>
      </c>
      <c r="P7" s="46" t="s">
        <v>84</v>
      </c>
      <c r="Q7" s="78" t="s">
        <v>40</v>
      </c>
      <c r="R7" s="79"/>
    </row>
    <row r="8" spans="2:18" ht="16" customHeight="1" x14ac:dyDescent="0.2">
      <c r="B8" s="67"/>
      <c r="C8" s="64"/>
      <c r="D8" s="2" t="s">
        <v>106</v>
      </c>
      <c r="G8" s="46">
        <v>1</v>
      </c>
      <c r="H8" s="9">
        <v>1</v>
      </c>
      <c r="I8" s="8" t="s">
        <v>41</v>
      </c>
      <c r="J8" s="8" t="s">
        <v>117</v>
      </c>
      <c r="K8" s="18" t="s">
        <v>30</v>
      </c>
      <c r="L8" s="18">
        <v>12.5</v>
      </c>
      <c r="M8" s="18" t="s">
        <v>95</v>
      </c>
      <c r="N8" s="18" t="s">
        <v>96</v>
      </c>
      <c r="O8" s="18" t="s">
        <v>86</v>
      </c>
      <c r="P8" s="48" t="s">
        <v>87</v>
      </c>
      <c r="Q8" s="100" t="s">
        <v>88</v>
      </c>
      <c r="R8" s="101"/>
    </row>
    <row r="9" spans="2:18" ht="16" x14ac:dyDescent="0.2">
      <c r="B9" s="67"/>
      <c r="C9" s="64"/>
      <c r="D9" s="2" t="s">
        <v>107</v>
      </c>
      <c r="G9" s="46">
        <v>2</v>
      </c>
      <c r="H9" s="9">
        <v>2</v>
      </c>
      <c r="I9" s="8" t="s">
        <v>118</v>
      </c>
      <c r="J9" s="8" t="s">
        <v>42</v>
      </c>
      <c r="K9" s="17" t="s">
        <v>32</v>
      </c>
      <c r="L9" s="18">
        <v>12.5</v>
      </c>
      <c r="M9" s="18" t="s">
        <v>95</v>
      </c>
      <c r="N9" s="18" t="s">
        <v>96</v>
      </c>
      <c r="O9" s="18" t="s">
        <v>86</v>
      </c>
      <c r="P9" s="48" t="s">
        <v>87</v>
      </c>
      <c r="Q9" s="76" t="s">
        <v>31</v>
      </c>
      <c r="R9" s="77"/>
    </row>
    <row r="10" spans="2:18" ht="16" x14ac:dyDescent="0.2">
      <c r="B10" s="67"/>
      <c r="C10" s="64"/>
      <c r="D10" s="2" t="s">
        <v>108</v>
      </c>
      <c r="G10" s="46">
        <v>3</v>
      </c>
      <c r="H10" s="9">
        <v>3</v>
      </c>
      <c r="I10" s="8" t="s">
        <v>123</v>
      </c>
      <c r="J10" s="8" t="s">
        <v>117</v>
      </c>
      <c r="K10" s="17" t="s">
        <v>119</v>
      </c>
      <c r="L10" s="18">
        <v>12.5</v>
      </c>
      <c r="M10" s="18" t="s">
        <v>95</v>
      </c>
      <c r="N10" s="18" t="s">
        <v>96</v>
      </c>
      <c r="O10" s="18" t="s">
        <v>86</v>
      </c>
      <c r="P10" s="48" t="s">
        <v>87</v>
      </c>
      <c r="Q10" s="100" t="s">
        <v>28</v>
      </c>
      <c r="R10" s="101"/>
    </row>
    <row r="11" spans="2:18" ht="16" x14ac:dyDescent="0.2">
      <c r="B11" s="67"/>
      <c r="C11" s="64"/>
      <c r="D11" s="2" t="s">
        <v>109</v>
      </c>
      <c r="G11" s="46">
        <v>4</v>
      </c>
      <c r="H11" s="9">
        <v>4</v>
      </c>
      <c r="I11" s="8" t="s">
        <v>123</v>
      </c>
      <c r="J11" s="8" t="s">
        <v>117</v>
      </c>
      <c r="K11" s="17" t="s">
        <v>120</v>
      </c>
      <c r="L11" s="18">
        <v>12.5</v>
      </c>
      <c r="M11" s="18" t="s">
        <v>95</v>
      </c>
      <c r="N11" s="18" t="s">
        <v>96</v>
      </c>
      <c r="O11" s="18" t="s">
        <v>86</v>
      </c>
      <c r="P11" s="48" t="s">
        <v>87</v>
      </c>
      <c r="Q11" s="100" t="s">
        <v>28</v>
      </c>
      <c r="R11" s="101"/>
    </row>
    <row r="12" spans="2:18" ht="16" x14ac:dyDescent="0.2">
      <c r="B12" s="68"/>
      <c r="C12" s="65"/>
      <c r="D12" s="2" t="s">
        <v>110</v>
      </c>
      <c r="G12" s="46">
        <v>5</v>
      </c>
      <c r="H12" s="9">
        <v>5</v>
      </c>
      <c r="I12" s="8" t="s">
        <v>123</v>
      </c>
      <c r="J12" s="8" t="s">
        <v>117</v>
      </c>
      <c r="K12" s="17" t="s">
        <v>121</v>
      </c>
      <c r="L12" s="18">
        <v>12.5</v>
      </c>
      <c r="M12" s="18" t="s">
        <v>95</v>
      </c>
      <c r="N12" s="18" t="s">
        <v>96</v>
      </c>
      <c r="O12" s="18" t="s">
        <v>86</v>
      </c>
      <c r="P12" s="48" t="s">
        <v>87</v>
      </c>
      <c r="Q12" s="100" t="s">
        <v>28</v>
      </c>
      <c r="R12" s="101"/>
    </row>
    <row r="13" spans="2:18" ht="16" x14ac:dyDescent="0.2">
      <c r="B13" s="66">
        <v>2</v>
      </c>
      <c r="C13" s="63" t="s">
        <v>129</v>
      </c>
      <c r="D13" s="2" t="s">
        <v>111</v>
      </c>
      <c r="G13" s="46">
        <v>6</v>
      </c>
      <c r="H13" s="9">
        <v>6</v>
      </c>
      <c r="I13" s="8" t="s">
        <v>124</v>
      </c>
      <c r="J13" s="8" t="s">
        <v>117</v>
      </c>
      <c r="K13" s="17" t="s">
        <v>122</v>
      </c>
      <c r="L13" s="18">
        <v>12.5</v>
      </c>
      <c r="M13" s="18" t="s">
        <v>95</v>
      </c>
      <c r="N13" s="18" t="s">
        <v>96</v>
      </c>
      <c r="O13" s="18" t="s">
        <v>86</v>
      </c>
      <c r="P13" s="48" t="s">
        <v>87</v>
      </c>
      <c r="Q13" s="61" t="s">
        <v>90</v>
      </c>
      <c r="R13" s="62"/>
    </row>
    <row r="14" spans="2:18" ht="16" x14ac:dyDescent="0.2">
      <c r="B14" s="67"/>
      <c r="C14" s="64"/>
      <c r="D14" s="2" t="s">
        <v>112</v>
      </c>
      <c r="G14" s="46">
        <v>7</v>
      </c>
      <c r="H14" s="9">
        <v>7</v>
      </c>
      <c r="I14" s="8" t="s">
        <v>128</v>
      </c>
      <c r="J14" s="8" t="s">
        <v>117</v>
      </c>
      <c r="K14" s="18" t="s">
        <v>85</v>
      </c>
      <c r="L14" s="18">
        <v>-0.01</v>
      </c>
      <c r="M14" s="18" t="s">
        <v>95</v>
      </c>
      <c r="N14" s="18" t="s">
        <v>96</v>
      </c>
      <c r="O14" s="18" t="s">
        <v>86</v>
      </c>
      <c r="P14" s="48" t="s">
        <v>87</v>
      </c>
      <c r="Q14" s="61" t="s">
        <v>99</v>
      </c>
      <c r="R14" s="62"/>
    </row>
    <row r="15" spans="2:18" ht="16" x14ac:dyDescent="0.2">
      <c r="B15" s="67"/>
      <c r="C15" s="64"/>
      <c r="D15" s="2" t="s">
        <v>113</v>
      </c>
      <c r="G15" s="46">
        <v>8</v>
      </c>
      <c r="H15" s="9">
        <v>8</v>
      </c>
      <c r="I15" s="8" t="s">
        <v>128</v>
      </c>
      <c r="J15" s="8" t="s">
        <v>117</v>
      </c>
      <c r="K15" s="18" t="s">
        <v>85</v>
      </c>
      <c r="L15" s="18">
        <v>0</v>
      </c>
      <c r="M15" s="18" t="s">
        <v>95</v>
      </c>
      <c r="N15" s="18" t="s">
        <v>96</v>
      </c>
      <c r="O15" s="18" t="s">
        <v>86</v>
      </c>
      <c r="P15" s="48" t="s">
        <v>87</v>
      </c>
      <c r="Q15" s="61" t="s">
        <v>99</v>
      </c>
      <c r="R15" s="62"/>
    </row>
    <row r="16" spans="2:18" ht="16" x14ac:dyDescent="0.2">
      <c r="B16" s="67"/>
      <c r="C16" s="64"/>
      <c r="D16" s="2" t="s">
        <v>114</v>
      </c>
      <c r="G16" s="46">
        <v>9</v>
      </c>
      <c r="H16" s="9">
        <v>9</v>
      </c>
      <c r="I16" s="8" t="s">
        <v>123</v>
      </c>
      <c r="J16" s="8" t="s">
        <v>117</v>
      </c>
      <c r="K16" s="18" t="s">
        <v>85</v>
      </c>
      <c r="L16" s="18">
        <v>0.01</v>
      </c>
      <c r="M16" s="18" t="s">
        <v>95</v>
      </c>
      <c r="N16" s="18" t="s">
        <v>96</v>
      </c>
      <c r="O16" s="18" t="s">
        <v>86</v>
      </c>
      <c r="P16" s="48" t="s">
        <v>87</v>
      </c>
      <c r="Q16" s="100" t="s">
        <v>28</v>
      </c>
      <c r="R16" s="101"/>
    </row>
    <row r="17" spans="2:18" ht="16" x14ac:dyDescent="0.2">
      <c r="B17" s="67"/>
      <c r="C17" s="64"/>
      <c r="D17" s="2" t="s">
        <v>115</v>
      </c>
      <c r="G17" s="46">
        <v>10</v>
      </c>
      <c r="H17" s="9">
        <v>10</v>
      </c>
      <c r="I17" s="8" t="s">
        <v>123</v>
      </c>
      <c r="J17" s="8" t="s">
        <v>117</v>
      </c>
      <c r="K17" s="18" t="s">
        <v>85</v>
      </c>
      <c r="L17" s="18" t="s">
        <v>125</v>
      </c>
      <c r="M17" s="18" t="s">
        <v>95</v>
      </c>
      <c r="N17" s="18" t="s">
        <v>96</v>
      </c>
      <c r="O17" s="18" t="s">
        <v>86</v>
      </c>
      <c r="P17" s="48" t="s">
        <v>87</v>
      </c>
      <c r="Q17" s="100" t="s">
        <v>28</v>
      </c>
      <c r="R17" s="101"/>
    </row>
    <row r="18" spans="2:18" ht="16" x14ac:dyDescent="0.2">
      <c r="B18" s="67"/>
      <c r="C18" s="64"/>
      <c r="D18" s="41" t="s">
        <v>116</v>
      </c>
      <c r="G18" s="46">
        <v>11</v>
      </c>
      <c r="H18" s="9">
        <v>11</v>
      </c>
      <c r="I18" s="8" t="s">
        <v>123</v>
      </c>
      <c r="J18" s="8" t="s">
        <v>117</v>
      </c>
      <c r="K18" s="18" t="s">
        <v>85</v>
      </c>
      <c r="L18" s="18" t="s">
        <v>126</v>
      </c>
      <c r="M18" s="18" t="s">
        <v>95</v>
      </c>
      <c r="N18" s="18" t="s">
        <v>96</v>
      </c>
      <c r="O18" s="18" t="s">
        <v>86</v>
      </c>
      <c r="P18" s="48" t="s">
        <v>87</v>
      </c>
      <c r="Q18" s="100" t="s">
        <v>28</v>
      </c>
      <c r="R18" s="101"/>
    </row>
    <row r="19" spans="2:18" ht="16" x14ac:dyDescent="0.2">
      <c r="B19" s="45"/>
      <c r="C19" s="44"/>
      <c r="D19" s="42"/>
      <c r="G19" s="46">
        <v>12</v>
      </c>
      <c r="H19" s="9">
        <v>12</v>
      </c>
      <c r="I19" s="8"/>
      <c r="J19" s="8" t="s">
        <v>42</v>
      </c>
      <c r="K19" s="18" t="s">
        <v>85</v>
      </c>
      <c r="L19" s="18" t="s">
        <v>127</v>
      </c>
      <c r="M19" s="18" t="s">
        <v>95</v>
      </c>
      <c r="N19" s="18" t="s">
        <v>96</v>
      </c>
      <c r="O19" s="18" t="s">
        <v>86</v>
      </c>
      <c r="P19" s="48" t="s">
        <v>87</v>
      </c>
      <c r="Q19" s="76" t="s">
        <v>31</v>
      </c>
      <c r="R19" s="77"/>
    </row>
    <row r="20" spans="2:18" x14ac:dyDescent="0.2">
      <c r="B20" s="30"/>
      <c r="C20" s="43"/>
      <c r="G20" s="46">
        <v>13</v>
      </c>
      <c r="H20" s="9"/>
      <c r="I20" s="8"/>
      <c r="J20" s="8"/>
      <c r="K20" s="18"/>
      <c r="L20" s="18"/>
      <c r="M20" s="18"/>
      <c r="N20" s="18"/>
      <c r="O20" s="18"/>
      <c r="P20" s="18"/>
      <c r="Q20" s="100"/>
      <c r="R20" s="101"/>
    </row>
    <row r="21" spans="2:18" x14ac:dyDescent="0.2">
      <c r="B21" s="30"/>
      <c r="C21" s="43"/>
      <c r="G21" s="46">
        <v>14</v>
      </c>
      <c r="H21" s="9"/>
      <c r="I21" s="8"/>
      <c r="J21" s="8"/>
      <c r="K21" s="18"/>
      <c r="L21" s="18"/>
      <c r="M21" s="18"/>
      <c r="N21" s="18"/>
      <c r="O21" s="18"/>
      <c r="P21" s="18"/>
      <c r="Q21" s="100"/>
      <c r="R21" s="101"/>
    </row>
    <row r="22" spans="2:18" x14ac:dyDescent="0.2">
      <c r="B22" s="30"/>
      <c r="C22" s="43"/>
      <c r="G22" s="46">
        <v>15</v>
      </c>
      <c r="H22" s="9"/>
      <c r="I22" s="8"/>
      <c r="J22" s="8"/>
      <c r="K22" s="18"/>
      <c r="L22" s="18"/>
      <c r="M22" s="18"/>
      <c r="N22" s="18"/>
      <c r="O22" s="18"/>
      <c r="P22" s="18"/>
      <c r="Q22" s="100"/>
      <c r="R22" s="101"/>
    </row>
    <row r="23" spans="2:18" x14ac:dyDescent="0.2">
      <c r="B23" s="30"/>
      <c r="C23" s="43"/>
      <c r="G23" s="46">
        <v>16</v>
      </c>
      <c r="H23" s="9"/>
      <c r="I23" s="8"/>
      <c r="J23" s="8"/>
      <c r="K23" s="18"/>
      <c r="L23" s="18"/>
      <c r="M23" s="18"/>
      <c r="N23" s="18"/>
      <c r="O23" s="18"/>
      <c r="P23" s="18"/>
      <c r="Q23" s="100"/>
      <c r="R23" s="101"/>
    </row>
    <row r="24" spans="2:18" x14ac:dyDescent="0.2">
      <c r="B24" s="30"/>
      <c r="C24" s="43"/>
      <c r="G24" s="46">
        <v>17</v>
      </c>
      <c r="H24" s="9"/>
      <c r="I24" s="8"/>
      <c r="J24" s="8"/>
      <c r="K24" s="18"/>
      <c r="L24" s="18"/>
      <c r="M24" s="18"/>
      <c r="N24" s="18"/>
      <c r="O24" s="18"/>
      <c r="P24" s="18"/>
      <c r="Q24" s="100"/>
      <c r="R24" s="101"/>
    </row>
    <row r="25" spans="2:18" x14ac:dyDescent="0.2">
      <c r="B25" s="30"/>
      <c r="C25" s="43"/>
      <c r="G25" s="46">
        <v>18</v>
      </c>
      <c r="H25" s="9"/>
      <c r="I25" s="8"/>
      <c r="J25" s="8"/>
      <c r="K25" s="18"/>
      <c r="L25" s="18"/>
      <c r="M25" s="18"/>
      <c r="N25" s="18"/>
      <c r="O25" s="18"/>
      <c r="P25" s="18"/>
      <c r="Q25" s="100"/>
      <c r="R25" s="101"/>
    </row>
    <row r="26" spans="2:18" x14ac:dyDescent="0.2">
      <c r="B26" s="30"/>
      <c r="C26" s="43"/>
    </row>
    <row r="27" spans="2:18" x14ac:dyDescent="0.2">
      <c r="B27" s="30"/>
      <c r="C27" s="43"/>
    </row>
    <row r="28" spans="2:18" x14ac:dyDescent="0.2">
      <c r="B28" s="30"/>
      <c r="C28" s="43"/>
      <c r="G28" s="84"/>
      <c r="H28" s="84"/>
      <c r="I28" s="96"/>
      <c r="J28" s="96"/>
      <c r="K28" s="96"/>
      <c r="L28" s="96"/>
      <c r="M28" s="96"/>
      <c r="N28" s="25"/>
    </row>
    <row r="29" spans="2:18" x14ac:dyDescent="0.2">
      <c r="B29" s="30"/>
      <c r="C29" s="43"/>
      <c r="I29" s="95"/>
      <c r="J29" s="95"/>
      <c r="K29" s="95"/>
      <c r="L29" s="95"/>
      <c r="M29" s="95"/>
      <c r="N29" s="26"/>
    </row>
    <row r="30" spans="2:18" x14ac:dyDescent="0.2">
      <c r="B30" s="30"/>
      <c r="C30" s="43"/>
    </row>
  </sheetData>
  <mergeCells count="36">
    <mergeCell ref="K6:P6"/>
    <mergeCell ref="Q10:R10"/>
    <mergeCell ref="Q11:R11"/>
    <mergeCell ref="Q12:R12"/>
    <mergeCell ref="Q24:R24"/>
    <mergeCell ref="Q16:R16"/>
    <mergeCell ref="Q17:R17"/>
    <mergeCell ref="Q18:R18"/>
    <mergeCell ref="Q8:R8"/>
    <mergeCell ref="Q9:R9"/>
    <mergeCell ref="Q19:R19"/>
    <mergeCell ref="Q20:R20"/>
    <mergeCell ref="Q21:R21"/>
    <mergeCell ref="Q13:R13"/>
    <mergeCell ref="B13:B18"/>
    <mergeCell ref="C13:C18"/>
    <mergeCell ref="I29:M29"/>
    <mergeCell ref="G5:R5"/>
    <mergeCell ref="B3:G3"/>
    <mergeCell ref="Q7:R7"/>
    <mergeCell ref="G28:H28"/>
    <mergeCell ref="I28:M28"/>
    <mergeCell ref="B5:D5"/>
    <mergeCell ref="Q6:R6"/>
    <mergeCell ref="H6:H7"/>
    <mergeCell ref="Q25:R25"/>
    <mergeCell ref="Q14:R14"/>
    <mergeCell ref="Q15:R15"/>
    <mergeCell ref="Q22:R22"/>
    <mergeCell ref="Q23:R23"/>
    <mergeCell ref="B1:E1"/>
    <mergeCell ref="G6:G7"/>
    <mergeCell ref="I6:I7"/>
    <mergeCell ref="J6:J7"/>
    <mergeCell ref="B7:B12"/>
    <mergeCell ref="C7:C1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8"/>
  <sheetViews>
    <sheetView workbookViewId="0">
      <selection activeCell="D35" sqref="D35"/>
    </sheetView>
  </sheetViews>
  <sheetFormatPr baseColWidth="10" defaultColWidth="8.83203125" defaultRowHeight="15" x14ac:dyDescent="0.2"/>
  <cols>
    <col min="6" max="6" width="12.1640625" bestFit="1" customWidth="1"/>
    <col min="7" max="7" width="17.5" bestFit="1" customWidth="1"/>
    <col min="8" max="8" width="10.5" customWidth="1"/>
    <col min="9" max="9" width="13.1640625" bestFit="1" customWidth="1"/>
    <col min="10" max="10" width="8.83203125" bestFit="1" customWidth="1"/>
    <col min="12" max="12" width="18.6640625" customWidth="1"/>
    <col min="13" max="13" width="44" customWidth="1"/>
    <col min="14" max="14" width="10.83203125" customWidth="1"/>
  </cols>
  <sheetData>
    <row r="1" spans="2:14" x14ac:dyDescent="0.2">
      <c r="B1" s="57" t="s">
        <v>0</v>
      </c>
      <c r="C1" s="58"/>
      <c r="D1" s="58"/>
      <c r="E1" s="59"/>
    </row>
    <row r="3" spans="2:14" x14ac:dyDescent="0.2">
      <c r="B3" s="111" t="s">
        <v>43</v>
      </c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</row>
    <row r="4" spans="2:14" x14ac:dyDescent="0.2">
      <c r="B4" s="74" t="s">
        <v>44</v>
      </c>
      <c r="C4" s="109" t="s">
        <v>45</v>
      </c>
      <c r="D4" s="115" t="s">
        <v>46</v>
      </c>
      <c r="E4" s="80" t="s">
        <v>47</v>
      </c>
      <c r="F4" s="78" t="s">
        <v>23</v>
      </c>
      <c r="G4" s="83"/>
      <c r="H4" s="83"/>
      <c r="I4" s="83"/>
      <c r="J4" s="83"/>
      <c r="K4" s="83"/>
      <c r="L4" s="79"/>
      <c r="M4" s="82" t="s">
        <v>24</v>
      </c>
      <c r="N4" s="82"/>
    </row>
    <row r="5" spans="2:14" ht="16" thickBot="1" x14ac:dyDescent="0.25">
      <c r="B5" s="114"/>
      <c r="C5" s="110"/>
      <c r="D5" s="116"/>
      <c r="E5" s="108"/>
      <c r="F5" s="12" t="s">
        <v>80</v>
      </c>
      <c r="G5" s="12" t="s">
        <v>81</v>
      </c>
      <c r="H5" s="12" t="s">
        <v>25</v>
      </c>
      <c r="I5" s="12" t="s">
        <v>82</v>
      </c>
      <c r="J5" s="12" t="s">
        <v>83</v>
      </c>
      <c r="K5" s="106" t="s">
        <v>84</v>
      </c>
      <c r="L5" s="107"/>
      <c r="M5" s="12" t="s">
        <v>26</v>
      </c>
      <c r="N5" s="36" t="s">
        <v>48</v>
      </c>
    </row>
    <row r="6" spans="2:14" ht="16" thickTop="1" x14ac:dyDescent="0.2">
      <c r="B6" s="11">
        <v>1</v>
      </c>
      <c r="C6" s="112" t="s">
        <v>49</v>
      </c>
      <c r="D6" s="15" t="s">
        <v>123</v>
      </c>
      <c r="E6" s="11" t="s">
        <v>29</v>
      </c>
      <c r="F6" s="2" t="s">
        <v>85</v>
      </c>
      <c r="G6" s="2">
        <v>12.5</v>
      </c>
      <c r="H6" s="2" t="s">
        <v>95</v>
      </c>
      <c r="I6" s="2" t="s">
        <v>96</v>
      </c>
      <c r="J6" s="2" t="s">
        <v>86</v>
      </c>
      <c r="K6" s="61" t="s">
        <v>87</v>
      </c>
      <c r="L6" s="62" t="s">
        <v>27</v>
      </c>
      <c r="M6" s="53" t="s">
        <v>28</v>
      </c>
      <c r="N6" s="2"/>
    </row>
    <row r="7" spans="2:14" x14ac:dyDescent="0.2">
      <c r="B7" s="11">
        <v>2</v>
      </c>
      <c r="C7" s="113"/>
      <c r="D7" s="15" t="s">
        <v>41</v>
      </c>
      <c r="E7" s="7" t="s">
        <v>147</v>
      </c>
      <c r="F7" s="2" t="s">
        <v>30</v>
      </c>
      <c r="G7" s="2">
        <v>12.5</v>
      </c>
      <c r="H7" s="2" t="s">
        <v>95</v>
      </c>
      <c r="I7" s="2" t="s">
        <v>96</v>
      </c>
      <c r="J7" s="2" t="s">
        <v>86</v>
      </c>
      <c r="K7" s="60" t="s">
        <v>87</v>
      </c>
      <c r="L7" s="60" t="s">
        <v>27</v>
      </c>
      <c r="M7" s="2" t="s">
        <v>88</v>
      </c>
      <c r="N7" s="54"/>
    </row>
    <row r="8" spans="2:14" x14ac:dyDescent="0.2">
      <c r="B8" s="11">
        <v>3</v>
      </c>
      <c r="C8" s="113"/>
      <c r="D8" s="15" t="s">
        <v>124</v>
      </c>
      <c r="E8" s="7" t="s">
        <v>29</v>
      </c>
      <c r="F8" s="2" t="s">
        <v>89</v>
      </c>
      <c r="G8" s="2">
        <v>12.5</v>
      </c>
      <c r="H8" s="2" t="s">
        <v>95</v>
      </c>
      <c r="I8" s="2" t="s">
        <v>96</v>
      </c>
      <c r="J8" s="2" t="s">
        <v>86</v>
      </c>
      <c r="K8" s="60" t="s">
        <v>87</v>
      </c>
      <c r="L8" s="60"/>
      <c r="M8" s="2" t="s">
        <v>90</v>
      </c>
      <c r="N8" s="54"/>
    </row>
    <row r="9" spans="2:14" x14ac:dyDescent="0.2">
      <c r="B9" s="7">
        <v>4</v>
      </c>
      <c r="C9" s="113"/>
      <c r="D9" s="15" t="s">
        <v>144</v>
      </c>
      <c r="E9" s="7" t="s">
        <v>29</v>
      </c>
      <c r="F9" s="2" t="s">
        <v>85</v>
      </c>
      <c r="G9" s="2" t="s">
        <v>97</v>
      </c>
      <c r="H9" s="2" t="s">
        <v>95</v>
      </c>
      <c r="I9" s="2" t="s">
        <v>96</v>
      </c>
      <c r="J9" s="2" t="s">
        <v>86</v>
      </c>
      <c r="K9" s="60" t="s">
        <v>87</v>
      </c>
      <c r="L9" s="60"/>
      <c r="M9" s="2" t="s">
        <v>98</v>
      </c>
      <c r="N9" s="54"/>
    </row>
    <row r="10" spans="2:14" x14ac:dyDescent="0.2">
      <c r="B10" s="11">
        <v>5</v>
      </c>
      <c r="C10" s="113"/>
      <c r="D10" s="15" t="s">
        <v>128</v>
      </c>
      <c r="E10" s="7" t="s">
        <v>150</v>
      </c>
      <c r="F10" s="2" t="s">
        <v>85</v>
      </c>
      <c r="G10" s="2">
        <v>0</v>
      </c>
      <c r="H10" s="2" t="s">
        <v>95</v>
      </c>
      <c r="I10" s="2" t="s">
        <v>96</v>
      </c>
      <c r="J10" s="2" t="s">
        <v>86</v>
      </c>
      <c r="K10" s="60" t="s">
        <v>87</v>
      </c>
      <c r="L10" s="60"/>
      <c r="M10" s="2" t="s">
        <v>99</v>
      </c>
      <c r="N10" s="54"/>
    </row>
    <row r="11" spans="2:14" x14ac:dyDescent="0.2">
      <c r="B11" s="11">
        <v>6</v>
      </c>
      <c r="C11" s="113"/>
      <c r="D11" s="15" t="s">
        <v>145</v>
      </c>
      <c r="E11" s="7" t="s">
        <v>29</v>
      </c>
      <c r="F11" s="2" t="s">
        <v>85</v>
      </c>
      <c r="G11" s="2">
        <v>12.5</v>
      </c>
      <c r="H11" s="2" t="s">
        <v>95</v>
      </c>
      <c r="I11" s="2" t="s">
        <v>96</v>
      </c>
      <c r="J11" s="2" t="s">
        <v>143</v>
      </c>
      <c r="K11" s="60" t="s">
        <v>77</v>
      </c>
      <c r="L11" s="60"/>
      <c r="M11" s="2" t="s">
        <v>102</v>
      </c>
      <c r="N11" s="54"/>
    </row>
    <row r="12" spans="2:14" x14ac:dyDescent="0.2">
      <c r="B12" s="7">
        <f t="shared" ref="B12" si="0">B11+1</f>
        <v>7</v>
      </c>
      <c r="C12" s="113"/>
      <c r="D12" s="15" t="s">
        <v>146</v>
      </c>
      <c r="E12" s="7" t="s">
        <v>29</v>
      </c>
      <c r="F12" s="2" t="s">
        <v>85</v>
      </c>
      <c r="G12" s="2">
        <v>12.5</v>
      </c>
      <c r="H12" s="2" t="s">
        <v>95</v>
      </c>
      <c r="I12" s="2" t="s">
        <v>96</v>
      </c>
      <c r="J12" s="2" t="s">
        <v>100</v>
      </c>
      <c r="K12" s="60" t="s">
        <v>101</v>
      </c>
      <c r="L12" s="60"/>
      <c r="M12" s="2" t="s">
        <v>103</v>
      </c>
      <c r="N12" s="54"/>
    </row>
    <row r="13" spans="2:14" ht="15" customHeight="1" x14ac:dyDescent="0.2">
      <c r="B13" s="11">
        <v>8</v>
      </c>
      <c r="C13" s="113"/>
      <c r="D13" s="16" t="s">
        <v>29</v>
      </c>
      <c r="E13" s="10" t="s">
        <v>50</v>
      </c>
      <c r="F13" s="17" t="s">
        <v>119</v>
      </c>
      <c r="G13" s="18">
        <v>12.5</v>
      </c>
      <c r="H13" s="18" t="s">
        <v>95</v>
      </c>
      <c r="I13" s="18" t="s">
        <v>96</v>
      </c>
      <c r="J13" s="18" t="s">
        <v>86</v>
      </c>
      <c r="K13" s="105" t="s">
        <v>87</v>
      </c>
      <c r="L13" s="105"/>
      <c r="M13" s="18" t="s">
        <v>28</v>
      </c>
      <c r="N13" s="16"/>
    </row>
    <row r="14" spans="2:14" x14ac:dyDescent="0.2">
      <c r="B14" s="11">
        <v>9</v>
      </c>
      <c r="C14" s="113"/>
      <c r="D14" s="16" t="s">
        <v>29</v>
      </c>
      <c r="E14" s="10" t="s">
        <v>51</v>
      </c>
      <c r="F14" s="17" t="s">
        <v>120</v>
      </c>
      <c r="G14" s="18">
        <v>12.5</v>
      </c>
      <c r="H14" s="18" t="s">
        <v>95</v>
      </c>
      <c r="I14" s="18" t="s">
        <v>96</v>
      </c>
      <c r="J14" s="18" t="s">
        <v>86</v>
      </c>
      <c r="K14" s="105" t="s">
        <v>87</v>
      </c>
      <c r="L14" s="105"/>
      <c r="M14" s="18" t="s">
        <v>28</v>
      </c>
      <c r="N14" s="16"/>
    </row>
    <row r="15" spans="2:14" x14ac:dyDescent="0.2">
      <c r="B15" s="7">
        <v>10</v>
      </c>
      <c r="C15" s="113"/>
      <c r="D15" s="16" t="s">
        <v>29</v>
      </c>
      <c r="E15" s="10" t="s">
        <v>52</v>
      </c>
      <c r="F15" s="17" t="s">
        <v>121</v>
      </c>
      <c r="G15" s="18">
        <v>12.5</v>
      </c>
      <c r="H15" s="18" t="s">
        <v>95</v>
      </c>
      <c r="I15" s="18" t="s">
        <v>96</v>
      </c>
      <c r="J15" s="18" t="s">
        <v>86</v>
      </c>
      <c r="K15" s="105" t="s">
        <v>87</v>
      </c>
      <c r="L15" s="105"/>
      <c r="M15" s="18" t="s">
        <v>28</v>
      </c>
      <c r="N15" s="16"/>
    </row>
    <row r="16" spans="2:14" ht="14" customHeight="1" x14ac:dyDescent="0.2">
      <c r="B16" s="11">
        <v>11</v>
      </c>
      <c r="C16" s="113"/>
      <c r="D16" s="16" t="s">
        <v>29</v>
      </c>
      <c r="E16" s="10" t="s">
        <v>148</v>
      </c>
      <c r="F16" s="17" t="s">
        <v>122</v>
      </c>
      <c r="G16" s="18">
        <v>12.5</v>
      </c>
      <c r="H16" s="18" t="s">
        <v>95</v>
      </c>
      <c r="I16" s="18" t="s">
        <v>96</v>
      </c>
      <c r="J16" s="18" t="s">
        <v>86</v>
      </c>
      <c r="K16" s="105" t="s">
        <v>87</v>
      </c>
      <c r="L16" s="105"/>
      <c r="M16" s="2" t="s">
        <v>90</v>
      </c>
      <c r="N16" s="54"/>
    </row>
    <row r="17" spans="2:16" x14ac:dyDescent="0.2">
      <c r="B17" s="11">
        <v>12</v>
      </c>
      <c r="C17" s="113"/>
      <c r="D17" s="16" t="s">
        <v>29</v>
      </c>
      <c r="E17" s="10" t="s">
        <v>149</v>
      </c>
      <c r="F17" s="18" t="s">
        <v>85</v>
      </c>
      <c r="G17" s="18">
        <v>-0.01</v>
      </c>
      <c r="H17" s="18" t="s">
        <v>95</v>
      </c>
      <c r="I17" s="18" t="s">
        <v>96</v>
      </c>
      <c r="J17" s="18" t="s">
        <v>86</v>
      </c>
      <c r="K17" s="105" t="s">
        <v>87</v>
      </c>
      <c r="L17" s="105"/>
      <c r="M17" s="2" t="s">
        <v>99</v>
      </c>
      <c r="N17" s="37"/>
    </row>
    <row r="18" spans="2:16" x14ac:dyDescent="0.2">
      <c r="B18" s="11">
        <v>13</v>
      </c>
      <c r="C18" s="113"/>
      <c r="D18" s="16" t="s">
        <v>29</v>
      </c>
      <c r="E18" s="10" t="s">
        <v>151</v>
      </c>
      <c r="F18" s="18" t="s">
        <v>85</v>
      </c>
      <c r="G18" s="18">
        <v>0.01</v>
      </c>
      <c r="H18" s="18" t="s">
        <v>95</v>
      </c>
      <c r="I18" s="18" t="s">
        <v>96</v>
      </c>
      <c r="J18" s="18" t="s">
        <v>86</v>
      </c>
      <c r="K18" s="105" t="s">
        <v>87</v>
      </c>
      <c r="L18" s="105"/>
      <c r="M18" s="18" t="s">
        <v>28</v>
      </c>
      <c r="N18" s="55"/>
    </row>
    <row r="19" spans="2:16" x14ac:dyDescent="0.2">
      <c r="B19" s="11">
        <v>14</v>
      </c>
      <c r="C19" s="113"/>
      <c r="D19" s="16" t="s">
        <v>29</v>
      </c>
      <c r="E19" s="10" t="s">
        <v>152</v>
      </c>
      <c r="F19" s="18" t="s">
        <v>85</v>
      </c>
      <c r="G19" s="18" t="s">
        <v>125</v>
      </c>
      <c r="H19" s="18" t="s">
        <v>95</v>
      </c>
      <c r="I19" s="18" t="s">
        <v>96</v>
      </c>
      <c r="J19" s="18" t="s">
        <v>86</v>
      </c>
      <c r="K19" s="105" t="s">
        <v>87</v>
      </c>
      <c r="L19" s="105"/>
      <c r="M19" s="18" t="s">
        <v>28</v>
      </c>
      <c r="N19" s="55"/>
    </row>
    <row r="20" spans="2:16" ht="15" customHeight="1" x14ac:dyDescent="0.2">
      <c r="B20" s="11">
        <v>15</v>
      </c>
      <c r="C20" s="135"/>
      <c r="D20" s="16" t="s">
        <v>29</v>
      </c>
      <c r="E20" s="10" t="s">
        <v>153</v>
      </c>
      <c r="F20" s="18" t="s">
        <v>85</v>
      </c>
      <c r="G20" s="18" t="s">
        <v>126</v>
      </c>
      <c r="H20" s="18" t="s">
        <v>95</v>
      </c>
      <c r="I20" s="18" t="s">
        <v>96</v>
      </c>
      <c r="J20" s="18" t="s">
        <v>86</v>
      </c>
      <c r="K20" s="105" t="s">
        <v>87</v>
      </c>
      <c r="L20" s="105"/>
      <c r="M20" s="18" t="s">
        <v>28</v>
      </c>
      <c r="N20" s="7"/>
    </row>
    <row r="21" spans="2:16" x14ac:dyDescent="0.2">
      <c r="B21" s="13"/>
      <c r="C21" s="13"/>
      <c r="D21" s="14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2:16" ht="14.5" customHeight="1" x14ac:dyDescent="0.2">
      <c r="B22" s="13" t="s">
        <v>53</v>
      </c>
      <c r="C22" s="13"/>
      <c r="D22" s="14"/>
      <c r="E22" s="13"/>
      <c r="F22" s="5"/>
      <c r="G22" s="5"/>
      <c r="H22" s="5"/>
      <c r="I22" s="5"/>
      <c r="J22" s="5"/>
      <c r="K22" s="87"/>
      <c r="L22" s="87"/>
      <c r="M22" s="5"/>
    </row>
    <row r="23" spans="2:16" ht="16" thickBot="1" x14ac:dyDescent="0.25">
      <c r="M23" s="5"/>
    </row>
    <row r="24" spans="2:16" ht="16" thickTop="1" x14ac:dyDescent="0.2">
      <c r="C24" s="123" t="s">
        <v>54</v>
      </c>
      <c r="D24" s="124"/>
      <c r="E24" s="124"/>
      <c r="F24" s="125"/>
      <c r="G24" s="21" t="s">
        <v>55</v>
      </c>
      <c r="H24" s="123" t="s">
        <v>56</v>
      </c>
      <c r="I24" s="126"/>
      <c r="J24" s="124"/>
      <c r="K24" s="124"/>
      <c r="L24" s="125"/>
      <c r="M24" s="123" t="s">
        <v>57</v>
      </c>
      <c r="N24" s="126"/>
      <c r="O24" s="124"/>
      <c r="P24" s="125"/>
    </row>
    <row r="25" spans="2:16" ht="14.5" customHeight="1" x14ac:dyDescent="0.2">
      <c r="B25" s="119" t="s">
        <v>45</v>
      </c>
      <c r="C25" s="120" t="s">
        <v>58</v>
      </c>
      <c r="D25" s="121" t="s">
        <v>59</v>
      </c>
      <c r="E25" s="121" t="s">
        <v>60</v>
      </c>
      <c r="F25" s="122" t="s">
        <v>61</v>
      </c>
      <c r="G25" s="131" t="s">
        <v>62</v>
      </c>
      <c r="H25" s="127" t="s">
        <v>63</v>
      </c>
      <c r="I25" s="128"/>
      <c r="J25" s="121" t="s">
        <v>58</v>
      </c>
      <c r="K25" s="121" t="s">
        <v>59</v>
      </c>
      <c r="L25" s="122" t="s">
        <v>60</v>
      </c>
      <c r="M25" s="132" t="s">
        <v>63</v>
      </c>
      <c r="N25" s="121" t="s">
        <v>58</v>
      </c>
      <c r="O25" s="121" t="s">
        <v>59</v>
      </c>
      <c r="P25" s="122" t="s">
        <v>60</v>
      </c>
    </row>
    <row r="26" spans="2:16" x14ac:dyDescent="0.2">
      <c r="B26" s="119"/>
      <c r="C26" s="120"/>
      <c r="D26" s="121"/>
      <c r="E26" s="121"/>
      <c r="F26" s="122"/>
      <c r="G26" s="131"/>
      <c r="H26" s="129"/>
      <c r="I26" s="130"/>
      <c r="J26" s="121"/>
      <c r="K26" s="121"/>
      <c r="L26" s="122"/>
      <c r="M26" s="133"/>
      <c r="N26" s="121"/>
      <c r="O26" s="121"/>
      <c r="P26" s="122"/>
    </row>
    <row r="27" spans="2:16" x14ac:dyDescent="0.2">
      <c r="B27" s="24" t="s">
        <v>49</v>
      </c>
      <c r="C27" s="20">
        <v>8</v>
      </c>
      <c r="D27" s="22">
        <v>5</v>
      </c>
      <c r="E27" s="22">
        <v>3</v>
      </c>
      <c r="F27" s="23"/>
      <c r="G27" s="28"/>
      <c r="H27" s="117" t="s">
        <v>64</v>
      </c>
      <c r="I27" s="118"/>
      <c r="J27" s="2">
        <v>3</v>
      </c>
      <c r="K27" s="22">
        <v>3</v>
      </c>
      <c r="L27" s="23">
        <v>0</v>
      </c>
      <c r="M27" s="27" t="s">
        <v>64</v>
      </c>
      <c r="N27" s="2">
        <v>5</v>
      </c>
      <c r="O27" s="22">
        <v>5</v>
      </c>
      <c r="P27" s="23">
        <v>0</v>
      </c>
    </row>
    <row r="28" spans="2:16" x14ac:dyDescent="0.2">
      <c r="M28" s="3"/>
    </row>
  </sheetData>
  <mergeCells count="44">
    <mergeCell ref="L25:L26"/>
    <mergeCell ref="O25:O26"/>
    <mergeCell ref="P25:P26"/>
    <mergeCell ref="M24:P24"/>
    <mergeCell ref="M25:M26"/>
    <mergeCell ref="N25:N26"/>
    <mergeCell ref="K22:L22"/>
    <mergeCell ref="C6:C20"/>
    <mergeCell ref="B4:B5"/>
    <mergeCell ref="D4:D5"/>
    <mergeCell ref="H27:I27"/>
    <mergeCell ref="B25:B26"/>
    <mergeCell ref="C25:C26"/>
    <mergeCell ref="D25:D26"/>
    <mergeCell ref="E25:E26"/>
    <mergeCell ref="F25:F26"/>
    <mergeCell ref="J25:J26"/>
    <mergeCell ref="C24:F24"/>
    <mergeCell ref="H24:L24"/>
    <mergeCell ref="H25:I26"/>
    <mergeCell ref="G25:G26"/>
    <mergeCell ref="K25:K26"/>
    <mergeCell ref="M4:N4"/>
    <mergeCell ref="K5:L5"/>
    <mergeCell ref="K6:L6"/>
    <mergeCell ref="K9:L9"/>
    <mergeCell ref="F4:L4"/>
    <mergeCell ref="K8:L8"/>
    <mergeCell ref="K10:L10"/>
    <mergeCell ref="K7:L7"/>
    <mergeCell ref="B1:E1"/>
    <mergeCell ref="E4:E5"/>
    <mergeCell ref="C4:C5"/>
    <mergeCell ref="B3:N3"/>
    <mergeCell ref="K20:L20"/>
    <mergeCell ref="K18:L18"/>
    <mergeCell ref="K19:L19"/>
    <mergeCell ref="K11:L11"/>
    <mergeCell ref="K12:L12"/>
    <mergeCell ref="K13:L13"/>
    <mergeCell ref="K14:L14"/>
    <mergeCell ref="K15:L15"/>
    <mergeCell ref="K16:L16"/>
    <mergeCell ref="K17:L17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2026-03-22T11:30:30Z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